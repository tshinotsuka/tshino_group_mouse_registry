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ocab" sheetId="2" state="visible" r:id="rId4"/>
    <sheet name="lines" sheetId="3" state="visible" r:id="rId5"/>
    <sheet name="colony" sheetId="4" state="visible" r:id="rId6"/>
    <sheet name="projects" sheetId="5" state="visible" r:id="rId7"/>
    <sheet name="animals" sheetId="6" state="visible" r:id="rId8"/>
    <sheet name="enrollments" sheetId="7" state="visible" r:id="rId9"/>
    <sheet name="procedures" sheetId="8" state="visible" r:id="rId10"/>
    <sheet name="mating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<sst xmlns="http://schemas.openxmlformats.org/spreadsheetml/2006/main" count="11918" uniqueCount="2272">
  <si>
    <r>
      <rPr>
        <b val="true"/>
        <sz val="12"/>
        <rFont val="Noto Sans CJK SC"/>
        <family val="2"/>
      </rPr>
      <t xml:space="preserve">次の番号 </t>
    </r>
    <r>
      <rPr>
        <b val="true"/>
        <sz val="12"/>
        <rFont val="Arial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登録ダッシュボード（自動計算）</t>
    </r>
  </si>
  <si>
    <t xml:space="preserve">line_id</t>
  </si>
  <si>
    <r>
      <rPr>
        <b val="true"/>
        <sz val="11"/>
        <color rgb="FFFFFFFF"/>
        <rFont val="Arial"/>
        <family val="0"/>
        <charset val="1"/>
      </rPr>
      <t xml:space="preserve">colony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</si>
  <si>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最大番号</t>
  </si>
  <si>
    <r>
      <rPr>
        <b val="true"/>
        <sz val="11"/>
        <color rgb="FFFFFFFF"/>
        <rFont val="Noto Sans CJK SC"/>
        <family val="2"/>
      </rPr>
      <t xml:space="preserve">次の</t>
    </r>
    <r>
      <rPr>
        <b val="true"/>
        <sz val="11"/>
        <color rgb="FFFFFFFF"/>
        <rFont val="Arial"/>
        <family val="0"/>
        <charset val="1"/>
      </rPr>
      <t xml:space="preserve">birth_id</t>
    </r>
  </si>
  <si>
    <r>
      <rPr>
        <b val="true"/>
        <sz val="11"/>
        <color rgb="FFFFFFFF"/>
        <rFont val="Noto Sans CJK SC"/>
        <family val="2"/>
      </rPr>
      <t xml:space="preserve">若♂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週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</si>
  <si>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若♀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週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</si>
  <si>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担当</t>
  </si>
  <si>
    <r>
      <rPr>
        <b val="true"/>
        <sz val="11"/>
        <color rgb="FFFFFFFF"/>
        <rFont val="Arial"/>
        <family val="0"/>
        <charset val="1"/>
      </rPr>
      <t xml:space="preserve">animals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</si>
  <si>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最大連番</t>
  </si>
  <si>
    <r>
      <rPr>
        <b val="true"/>
        <sz val="11"/>
        <color rgb="FFFFFFFF"/>
        <rFont val="Noto Sans CJK SC"/>
        <family val="2"/>
      </rPr>
      <t xml:space="preserve">次の</t>
    </r>
    <r>
      <rPr>
        <b val="true"/>
        <sz val="11"/>
        <color rgb="FFFFFFFF"/>
        <rFont val="Arial"/>
        <family val="0"/>
        <charset val="1"/>
      </rPr>
      <t xml:space="preserve">mouse_id</t>
    </r>
  </si>
  <si>
    <t xml:space="preserve">ts</t>
  </si>
  <si>
    <t xml:space="preserve">sk</t>
  </si>
  <si>
    <r>
      <rPr>
        <sz val="11"/>
        <rFont val="Arial"/>
        <family val="0"/>
        <charset val="1"/>
      </rPr>
      <t xml:space="preserve">colony</t>
    </r>
    <r>
      <rPr>
        <sz val="11"/>
        <rFont val="Noto Sans CJK SC"/>
        <family val="2"/>
      </rPr>
      <t xml:space="preserve">総数</t>
    </r>
  </si>
  <si>
    <t xml:space="preserve">alive</t>
  </si>
  <si>
    <t xml:space="preserve">genotyping pending</t>
  </si>
  <si>
    <t xml:space="preserve">enrolled animals</t>
  </si>
  <si>
    <r>
      <rPr>
        <sz val="11"/>
        <rFont val="Arial"/>
        <family val="0"/>
        <charset val="1"/>
      </rPr>
      <t xml:space="preserve">enrollment </t>
    </r>
    <r>
      <rPr>
        <sz val="11"/>
        <rFont val="Noto Sans CJK SC"/>
        <family val="2"/>
      </rPr>
      <t xml:space="preserve">行数</t>
    </r>
  </si>
  <si>
    <t xml:space="preserve">sex</t>
  </si>
  <si>
    <t xml:space="preserve">genotype_status</t>
  </si>
  <si>
    <t xml:space="preserve">genotype_call</t>
  </si>
  <si>
    <t xml:space="preserve">animal_status</t>
  </si>
  <si>
    <t xml:space="preserve">exp_status</t>
  </si>
  <si>
    <t xml:space="preserve">role</t>
  </si>
  <si>
    <t xml:space="preserve">source</t>
  </si>
  <si>
    <t xml:space="preserve">mating_status</t>
  </si>
  <si>
    <t xml:space="preserve">cohort</t>
  </si>
  <si>
    <t xml:space="preserve">procedure_type</t>
  </si>
  <si>
    <t xml:space="preserve">route</t>
  </si>
  <si>
    <t xml:space="preserve">anesthesia</t>
  </si>
  <si>
    <t xml:space="preserve">hemisphere</t>
  </si>
  <si>
    <t xml:space="preserve">fixation</t>
  </si>
  <si>
    <t xml:space="preserve">operator</t>
  </si>
  <si>
    <t xml:space="preserve">M</t>
  </si>
  <si>
    <t xml:space="preserve">pending</t>
  </si>
  <si>
    <t xml:space="preserve">+/+</t>
  </si>
  <si>
    <t xml:space="preserve">planned</t>
  </si>
  <si>
    <t xml:space="preserve">experimental</t>
  </si>
  <si>
    <t xml:space="preserve">in_house</t>
  </si>
  <si>
    <t xml:space="preserve">paired</t>
  </si>
  <si>
    <t xml:space="preserve">personal</t>
  </si>
  <si>
    <t xml:space="preserve">cranial_window</t>
  </si>
  <si>
    <t xml:space="preserve">iv</t>
  </si>
  <si>
    <t xml:space="preserve">isoflurane</t>
  </si>
  <si>
    <t xml:space="preserve">R</t>
  </si>
  <si>
    <t xml:space="preserve">none</t>
  </si>
  <si>
    <t xml:space="preserve">F</t>
  </si>
  <si>
    <t xml:space="preserve">confirmed</t>
  </si>
  <si>
    <t xml:space="preserve">+/-</t>
  </si>
  <si>
    <t xml:space="preserve">breeding</t>
  </si>
  <si>
    <t xml:space="preserve">active</t>
  </si>
  <si>
    <t xml:space="preserve">control</t>
  </si>
  <si>
    <t xml:space="preserve">vendor</t>
  </si>
  <si>
    <t xml:space="preserve">littered</t>
  </si>
  <si>
    <t xml:space="preserve">collab</t>
  </si>
  <si>
    <t xml:space="preserve">PoRTs_window</t>
  </si>
  <si>
    <t xml:space="preserve">icm</t>
  </si>
  <si>
    <t xml:space="preserve">ketamine_xylazine</t>
  </si>
  <si>
    <t xml:space="preserve">L</t>
  </si>
  <si>
    <t xml:space="preserve">PFA_perfusion</t>
  </si>
  <si>
    <t xml:space="preserve">U</t>
  </si>
  <si>
    <t xml:space="preserve">failed</t>
  </si>
  <si>
    <t xml:space="preserve">-/-</t>
  </si>
  <si>
    <t xml:space="preserve">nursing</t>
  </si>
  <si>
    <t xml:space="preserve">completed</t>
  </si>
  <si>
    <t xml:space="preserve">littermate_control</t>
  </si>
  <si>
    <t xml:space="preserve">weaned</t>
  </si>
  <si>
    <t xml:space="preserve">craniotomy</t>
  </si>
  <si>
    <t xml:space="preserve">intracortical</t>
  </si>
  <si>
    <t xml:space="preserve">avertin</t>
  </si>
  <si>
    <t xml:space="preserve">midline</t>
  </si>
  <si>
    <t xml:space="preserve">immersion</t>
  </si>
  <si>
    <t xml:space="preserve">retest</t>
  </si>
  <si>
    <t xml:space="preserve">+</t>
  </si>
  <si>
    <t xml:space="preserve">mating</t>
  </si>
  <si>
    <t xml:space="preserve">excluded</t>
  </si>
  <si>
    <t xml:space="preserve">naive</t>
  </si>
  <si>
    <t xml:space="preserve">ended</t>
  </si>
  <si>
    <t xml:space="preserve">viral_injection</t>
  </si>
  <si>
    <t xml:space="preserve">ip</t>
  </si>
  <si>
    <t xml:space="preserve">urethane</t>
  </si>
  <si>
    <t xml:space="preserve">other</t>
  </si>
  <si>
    <t xml:space="preserve">na</t>
  </si>
  <si>
    <t xml:space="preserve">-</t>
  </si>
  <si>
    <t xml:space="preserve">mating_planned</t>
  </si>
  <si>
    <t xml:space="preserve">CM_injection</t>
  </si>
  <si>
    <t xml:space="preserve">sc</t>
  </si>
  <si>
    <t xml:space="preserve">ICM_injection</t>
  </si>
  <si>
    <t xml:space="preserve">sacrificed</t>
  </si>
  <si>
    <t xml:space="preserve">CSF_collection</t>
  </si>
  <si>
    <t xml:space="preserve">dead</t>
  </si>
  <si>
    <t xml:space="preserve">femoral_catheter</t>
  </si>
  <si>
    <t xml:space="preserve">transferred</t>
  </si>
  <si>
    <t xml:space="preserve">perfusion_fix</t>
  </si>
  <si>
    <t xml:space="preserve">missing</t>
  </si>
  <si>
    <t xml:space="preserve">tissue_clearing</t>
  </si>
  <si>
    <t xml:space="preserve">brain_sampling</t>
  </si>
  <si>
    <t xml:space="preserve">imaging</t>
  </si>
  <si>
    <t xml:space="preserve">genotyping_biopsy</t>
  </si>
  <si>
    <t xml:space="preserve">line_name</t>
  </si>
  <si>
    <t xml:space="preserve">genotype_expected</t>
  </si>
  <si>
    <t xml:space="preserve">background</t>
  </si>
  <si>
    <t xml:space="preserve">assays</t>
  </si>
  <si>
    <t xml:space="preserve">notes</t>
  </si>
  <si>
    <t xml:space="preserve">wt</t>
  </si>
  <si>
    <t xml:space="preserve">wild-type B6</t>
  </si>
  <si>
    <t xml:space="preserve">C57BL/6JJcl</t>
  </si>
  <si>
    <t xml:space="preserve">CLEA</t>
  </si>
  <si>
    <t xml:space="preserve">aqp4ko</t>
  </si>
  <si>
    <t xml:space="preserve">Aqp4 KO</t>
  </si>
  <si>
    <t xml:space="preserve">Aqp4 -/-</t>
  </si>
  <si>
    <t xml:space="preserve">C57BL/6J</t>
  </si>
  <si>
    <t xml:space="preserve">aqp4</t>
  </si>
  <si>
    <t xml:space="preserve">KO</t>
  </si>
  <si>
    <t xml:space="preserve">cagegfp</t>
  </si>
  <si>
    <t xml:space="preserve">CAG-EGFP Tg</t>
  </si>
  <si>
    <t xml:space="preserve">Tg(CAG-EGFP)</t>
  </si>
  <si>
    <t xml:space="preserve">C57BL/6</t>
  </si>
  <si>
    <t xml:space="preserve">RIKEN</t>
  </si>
  <si>
    <t xml:space="preserve">cagegfp_aqp4ko</t>
  </si>
  <si>
    <t xml:space="preserve">CAG-EGFP x Aqp4KO</t>
  </si>
  <si>
    <t xml:space="preserve">CAG-EGFP;Aqp4-/-</t>
  </si>
  <si>
    <t xml:space="preserve">cagegfp,aqp4</t>
  </si>
  <si>
    <t xml:space="preserve">cross</t>
  </si>
  <si>
    <t xml:space="preserve">5xfad</t>
  </si>
  <si>
    <t xml:space="preserve">5xFAD Tg</t>
  </si>
  <si>
    <t xml:space="preserve">5xFAD hemi</t>
  </si>
  <si>
    <t xml:space="preserve">app,ps1</t>
  </si>
  <si>
    <t xml:space="preserve">Jackson</t>
  </si>
  <si>
    <t xml:space="preserve">5xfad_aqp4ko</t>
  </si>
  <si>
    <t xml:space="preserve">5xFAD x Aqp4KO</t>
  </si>
  <si>
    <t xml:space="preserve">5xFAD;Aqp4-/-</t>
  </si>
  <si>
    <t xml:space="preserve">app,ps1,aqp4</t>
  </si>
  <si>
    <t xml:space="preserve">birth_id</t>
  </si>
  <si>
    <t xml:space="preserve">number</t>
  </si>
  <si>
    <t xml:space="preserve">dob</t>
  </si>
  <si>
    <t xml:space="preserve">age_weeks</t>
  </si>
  <si>
    <t xml:space="preserve">litter_id</t>
  </si>
  <si>
    <t xml:space="preserve">sire</t>
  </si>
  <si>
    <t xml:space="preserve">dam</t>
  </si>
  <si>
    <t xml:space="preserve">generation</t>
  </si>
  <si>
    <t xml:space="preserve">gt_app</t>
  </si>
  <si>
    <t xml:space="preserve">gt_ps1</t>
  </si>
  <si>
    <t xml:space="preserve">gt_aqp4</t>
  </si>
  <si>
    <t xml:space="preserve">gt_cagegfp</t>
  </si>
  <si>
    <t xml:space="preserve">genotype</t>
  </si>
  <si>
    <t xml:space="preserve">status</t>
  </si>
  <si>
    <t xml:space="preserve">status_date</t>
  </si>
  <si>
    <t xml:space="preserve">5xfad-112</t>
  </si>
  <si>
    <t xml:space="preserve">108or109or110</t>
  </si>
  <si>
    <t xml:space="preserve">5xFAD-95(WT)</t>
  </si>
  <si>
    <t xml:space="preserve">tag:Punch</t>
  </si>
  <si>
    <t xml:space="preserve">5xfad-113</t>
  </si>
  <si>
    <t xml:space="preserve">5xfad-114</t>
  </si>
  <si>
    <r>
      <rPr>
        <sz val="11"/>
        <rFont val="Arial"/>
        <family val="0"/>
        <charset val="1"/>
      </rPr>
      <t xml:space="preserve">→Nuriya G tag:Punch orig:</t>
    </r>
    <r>
      <rPr>
        <sz val="11"/>
        <rFont val="Noto Sans CJK SC"/>
        <family val="2"/>
      </rPr>
      <t xml:space="preserve">実験中</t>
    </r>
  </si>
  <si>
    <t xml:space="preserve">5xfad-115</t>
  </si>
  <si>
    <t xml:space="preserve">→Nuriya G tag:Punch</t>
  </si>
  <si>
    <t xml:space="preserve">5xfad-116</t>
  </si>
  <si>
    <r>
      <rPr>
        <sz val="11"/>
        <rFont val="Arial"/>
        <family val="0"/>
        <charset val="1"/>
      </rPr>
      <t xml:space="preserve">tag:Punch orig:</t>
    </r>
    <r>
      <rPr>
        <sz val="11"/>
        <rFont val="Noto Sans CJK SC"/>
        <family val="2"/>
      </rPr>
      <t xml:space="preserve">実験中</t>
    </r>
  </si>
  <si>
    <t xml:space="preserve">5xfad-117</t>
  </si>
  <si>
    <t xml:space="preserve">5xfad-118</t>
  </si>
  <si>
    <t xml:space="preserve">5xfad-119</t>
  </si>
  <si>
    <t xml:space="preserve">5xfad-120</t>
  </si>
  <si>
    <t xml:space="preserve">5xFAD 102</t>
  </si>
  <si>
    <t xml:space="preserve">WT 130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</si>
  <si>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5xFAD</t>
    </r>
    <r>
      <rPr>
        <sz val="11"/>
        <rFont val="Noto Sans CJK SC"/>
        <family val="2"/>
      </rPr>
      <t xml:space="preserve">交配→</t>
    </r>
    <r>
      <rPr>
        <sz val="11"/>
        <rFont val="Arial"/>
        <family val="0"/>
        <charset val="1"/>
      </rPr>
      <t xml:space="preserve">260528</t>
    </r>
    <r>
      <rPr>
        <sz val="11"/>
        <rFont val="Noto Sans CJK SC"/>
        <family val="2"/>
      </rPr>
      <t xml:space="preserve">交配終了 </t>
    </r>
    <r>
      <rPr>
        <sz val="11"/>
        <rFont val="Arial"/>
        <family val="0"/>
        <charset val="1"/>
      </rPr>
      <t xml:space="preserve">tag:Punch</t>
    </r>
  </si>
  <si>
    <t xml:space="preserve">5xfad-121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</si>
  <si>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5xFAD</t>
    </r>
    <r>
      <rPr>
        <sz val="11"/>
        <rFont val="Noto Sans CJK SC"/>
        <family val="2"/>
      </rPr>
      <t xml:space="preserve">交配→</t>
    </r>
    <r>
      <rPr>
        <sz val="11"/>
        <rFont val="Arial"/>
        <family val="0"/>
        <charset val="1"/>
      </rPr>
      <t xml:space="preserve">260601</t>
    </r>
    <r>
      <rPr>
        <sz val="11"/>
        <rFont val="Noto Sans CJK SC"/>
        <family val="2"/>
      </rPr>
      <t xml:space="preserve">交配終了 </t>
    </r>
    <r>
      <rPr>
        <sz val="11"/>
        <rFont val="Arial"/>
        <family val="0"/>
        <charset val="1"/>
      </rPr>
      <t xml:space="preserve">tag:Punch</t>
    </r>
  </si>
  <si>
    <t xml:space="preserve">5xfad-122</t>
  </si>
  <si>
    <t xml:space="preserve">5xfad-123</t>
  </si>
  <si>
    <t xml:space="preserve">5xfad-124</t>
  </si>
  <si>
    <r>
      <rPr>
        <sz val="11"/>
        <rFont val="Noto Sans CJK SC"/>
        <family val="2"/>
      </rPr>
      <t xml:space="preserve">右目開いてない、左目白内障 </t>
    </r>
    <r>
      <rPr>
        <sz val="11"/>
        <rFont val="Arial"/>
        <family val="0"/>
        <charset val="1"/>
      </rPr>
      <t xml:space="preserve">tag:Punch orig:</t>
    </r>
    <r>
      <rPr>
        <sz val="11"/>
        <rFont val="Noto Sans CJK SC"/>
        <family val="2"/>
      </rPr>
      <t xml:space="preserve">実験中</t>
    </r>
  </si>
  <si>
    <t xml:space="preserve">5xfad-125</t>
  </si>
  <si>
    <t xml:space="preserve">5xfad-126</t>
  </si>
  <si>
    <t xml:space="preserve">5xFAD 120</t>
  </si>
  <si>
    <t xml:space="preserve">WT 181</t>
  </si>
  <si>
    <t xml:space="preserve">5xfad-127</t>
  </si>
  <si>
    <t xml:space="preserve">5xfad-128</t>
  </si>
  <si>
    <t xml:space="preserve">5xfad-129</t>
  </si>
  <si>
    <t xml:space="preserve">5xfad-130</t>
  </si>
  <si>
    <t xml:space="preserve">5xfad-131</t>
  </si>
  <si>
    <t xml:space="preserve">5xfad-132</t>
  </si>
  <si>
    <t xml:space="preserve">5xfad-133</t>
  </si>
  <si>
    <t xml:space="preserve">5xfad-134</t>
  </si>
  <si>
    <t xml:space="preserve">5xfad-135</t>
  </si>
  <si>
    <t xml:space="preserve">5xFAD 121</t>
  </si>
  <si>
    <t xml:space="preserve">WT 182</t>
  </si>
  <si>
    <t xml:space="preserve">5xfad-136</t>
  </si>
  <si>
    <t xml:space="preserve">5xfad-137</t>
  </si>
  <si>
    <t xml:space="preserve">5xfad-138</t>
  </si>
  <si>
    <t xml:space="preserve">5xfad-1</t>
  </si>
  <si>
    <t xml:space="preserve">5xFAD</t>
  </si>
  <si>
    <t xml:space="preserve">WT</t>
  </si>
  <si>
    <r>
      <rPr>
        <sz val="11"/>
        <rFont val="Arial"/>
        <family val="0"/>
        <charset val="1"/>
      </rPr>
      <t xml:space="preserve">Jackson</t>
    </r>
    <r>
      <rPr>
        <sz val="11"/>
        <rFont val="Noto Sans CJK SC"/>
        <family val="2"/>
      </rPr>
      <t xml:space="preserve">から購入（</t>
    </r>
    <r>
      <rPr>
        <sz val="11"/>
        <rFont val="Arial"/>
        <family val="0"/>
        <charset val="1"/>
      </rPr>
      <t xml:space="preserve">2023/6/22</t>
    </r>
    <r>
      <rPr>
        <sz val="11"/>
        <rFont val="Noto Sans CJK SC"/>
        <family val="2"/>
      </rPr>
      <t xml:space="preserve">）</t>
    </r>
  </si>
  <si>
    <t xml:space="preserve">5xfad-2</t>
  </si>
  <si>
    <r>
      <rPr>
        <sz val="11"/>
        <rFont val="Arial"/>
        <family val="0"/>
        <charset val="1"/>
      </rPr>
      <t xml:space="preserve">Jackson</t>
    </r>
    <r>
      <rPr>
        <sz val="11"/>
        <rFont val="Noto Sans CJK SC"/>
        <family val="2"/>
      </rPr>
      <t xml:space="preserve">から購入（</t>
    </r>
    <r>
      <rPr>
        <sz val="11"/>
        <rFont val="Arial"/>
        <family val="0"/>
        <charset val="1"/>
      </rPr>
      <t xml:space="preserve">2023/6/22</t>
    </r>
    <r>
      <rPr>
        <sz val="11"/>
        <rFont val="Noto Sans CJK SC"/>
        <family val="2"/>
      </rPr>
      <t xml:space="preserve">） </t>
    </r>
    <r>
      <rPr>
        <sz val="11"/>
        <rFont val="Arial"/>
        <family val="0"/>
        <charset val="1"/>
      </rPr>
      <t xml:space="preserve">tag:Green tag</t>
    </r>
  </si>
  <si>
    <t xml:space="preserve">5xfad-3</t>
  </si>
  <si>
    <r>
      <rPr>
        <sz val="11"/>
        <rFont val="Arial"/>
        <family val="0"/>
        <charset val="1"/>
      </rPr>
      <t xml:space="preserve">Jackson</t>
    </r>
    <r>
      <rPr>
        <sz val="11"/>
        <rFont val="Noto Sans CJK SC"/>
        <family val="2"/>
      </rPr>
      <t xml:space="preserve">から購入（</t>
    </r>
    <r>
      <rPr>
        <sz val="11"/>
        <rFont val="Arial"/>
        <family val="0"/>
        <charset val="1"/>
      </rPr>
      <t xml:space="preserve">2023/8/23</t>
    </r>
    <r>
      <rPr>
        <sz val="11"/>
        <rFont val="Noto Sans CJK SC"/>
        <family val="2"/>
      </rPr>
      <t xml:space="preserve">） </t>
    </r>
    <r>
      <rPr>
        <sz val="11"/>
        <rFont val="Arial"/>
        <family val="0"/>
        <charset val="1"/>
      </rPr>
      <t xml:space="preserve">tag:Orange tag</t>
    </r>
  </si>
  <si>
    <t xml:space="preserve">5xfad-4</t>
  </si>
  <si>
    <t xml:space="preserve">5xfad-5</t>
  </si>
  <si>
    <t xml:space="preserve">5xFAD-1</t>
  </si>
  <si>
    <t xml:space="preserve">5xFAD-3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</si>
  <si>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（プレ実験）</t>
    </r>
  </si>
  <si>
    <t xml:space="preserve">5xfad-6</t>
  </si>
  <si>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</si>
  <si>
    <t xml:space="preserve">5xfad-7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</si>
  <si>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（プレ実験）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</si>
  <si>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5xfad-8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</si>
  <si>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（プレ実験）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</si>
  <si>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5xfad-9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</si>
  <si>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（プレ実験）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2</t>
    </r>
  </si>
  <si>
    <t xml:space="preserve">5xfad-10</t>
  </si>
  <si>
    <t xml:space="preserve">5xfad-11</t>
  </si>
  <si>
    <t xml:space="preserve">5xfad-12</t>
  </si>
  <si>
    <t xml:space="preserve">5xFAD-4</t>
  </si>
  <si>
    <t xml:space="preserve">5xfad-13</t>
  </si>
  <si>
    <t xml:space="preserve">5xfad-14</t>
  </si>
  <si>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</si>
  <si>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5xfad-15</t>
  </si>
  <si>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</si>
  <si>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5xfad-16</t>
  </si>
  <si>
    <t xml:space="preserve">5xfad-17</t>
  </si>
  <si>
    <t xml:space="preserve">5xfad-18</t>
  </si>
  <si>
    <t xml:space="preserve">5xfad-19</t>
  </si>
  <si>
    <t xml:space="preserve">5xfad-20</t>
  </si>
  <si>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2</t>
    </r>
  </si>
  <si>
    <t xml:space="preserve">5xfad-21</t>
  </si>
  <si>
    <t xml:space="preserve">5xFAD-2</t>
  </si>
  <si>
    <t xml:space="preserve">5xfad-22</t>
  </si>
  <si>
    <r>
      <rPr>
        <sz val="11"/>
        <rFont val="Arial"/>
        <family val="0"/>
        <charset val="1"/>
      </rPr>
      <t xml:space="preserve">c-fos 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</si>
  <si>
    <t xml:space="preserve">5xfad-23</t>
  </si>
  <si>
    <t xml:space="preserve">5xfad-24</t>
  </si>
  <si>
    <t xml:space="preserve">自然死</t>
  </si>
  <si>
    <t xml:space="preserve">5xfad-25</t>
  </si>
  <si>
    <r>
      <rPr>
        <sz val="11"/>
        <rFont val="Noto Sans CJK SC"/>
        <family val="2"/>
      </rPr>
      <t xml:space="preserve">自然死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</si>
  <si>
    <t xml:space="preserve">5xfad-26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</si>
  <si>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（本実験）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</si>
  <si>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5xfad-27</t>
  </si>
  <si>
    <t xml:space="preserve">5xfad-28</t>
  </si>
  <si>
    <t xml:space="preserve">5xfad-29</t>
  </si>
  <si>
    <t xml:space="preserve">5xfad-30</t>
  </si>
  <si>
    <t xml:space="preserve">5xfad-31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</si>
  <si>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（本実験）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</si>
  <si>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5xfad-32</t>
  </si>
  <si>
    <t xml:space="preserve">5xfad-33</t>
  </si>
  <si>
    <t xml:space="preserve">5xfad-34</t>
  </si>
  <si>
    <t xml:space="preserve">5xfad-35</t>
  </si>
  <si>
    <t xml:space="preserve">5xFAD 1</t>
  </si>
  <si>
    <t xml:space="preserve">5xfad-36</t>
  </si>
  <si>
    <t xml:space="preserve">5xfad-37</t>
  </si>
  <si>
    <t xml:space="preserve">5xfad-38</t>
  </si>
  <si>
    <t xml:space="preserve">5xfad-39</t>
  </si>
  <si>
    <t xml:space="preserve">5xfad-40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</si>
  <si>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（本実験） </t>
    </r>
    <r>
      <rPr>
        <sz val="11"/>
        <rFont val="Arial"/>
        <family val="0"/>
        <charset val="1"/>
      </rPr>
      <t xml:space="preserve">tag:Punch</t>
    </r>
  </si>
  <si>
    <t xml:space="preserve">5xfad-41</t>
  </si>
  <si>
    <t xml:space="preserve">5xfad-42</t>
  </si>
  <si>
    <t xml:space="preserve">5xfad-43</t>
  </si>
  <si>
    <t xml:space="preserve">5xfad-44</t>
  </si>
  <si>
    <t xml:space="preserve">5xfad-45</t>
  </si>
  <si>
    <t xml:space="preserve">5xfad-46</t>
  </si>
  <si>
    <t xml:space="preserve">5xfad-47</t>
  </si>
  <si>
    <t xml:space="preserve">5xfad-48</t>
  </si>
  <si>
    <t xml:space="preserve">5xfad-49</t>
  </si>
  <si>
    <t xml:space="preserve">5xfad-50</t>
  </si>
  <si>
    <t xml:space="preserve">5xfad-51</t>
  </si>
  <si>
    <t xml:space="preserve">5xfad-52</t>
  </si>
  <si>
    <t xml:space="preserve">5xfad-53</t>
  </si>
  <si>
    <t xml:space="preserve">5xfad-54</t>
  </si>
  <si>
    <t xml:space="preserve">5xFAD 3</t>
  </si>
  <si>
    <t xml:space="preserve">5xfad-55</t>
  </si>
  <si>
    <t xml:space="preserve">5xfad-56</t>
  </si>
  <si>
    <t xml:space="preserve">5xfad-57</t>
  </si>
  <si>
    <t xml:space="preserve">5xfad-58</t>
  </si>
  <si>
    <t xml:space="preserve">5xfad-59</t>
  </si>
  <si>
    <t xml:space="preserve">5xFAD 4</t>
  </si>
  <si>
    <t xml:space="preserve">5xfad-60</t>
  </si>
  <si>
    <t xml:space="preserve">5xfad-61</t>
  </si>
  <si>
    <t xml:space="preserve">5xfad-62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</si>
  <si>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ｘ</t>
    </r>
    <r>
      <rPr>
        <sz val="11"/>
        <rFont val="Arial"/>
        <family val="0"/>
        <charset val="1"/>
      </rPr>
      <t xml:space="preserve">FAD-2</t>
    </r>
  </si>
  <si>
    <t xml:space="preserve">5xfad-63</t>
  </si>
  <si>
    <t xml:space="preserve">5xfad-64</t>
  </si>
  <si>
    <t xml:space="preserve">5xfad-65</t>
  </si>
  <si>
    <t xml:space="preserve">5xfad-66</t>
  </si>
  <si>
    <t xml:space="preserve">5xfad-67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</si>
  <si>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実験用 </t>
    </r>
    <r>
      <rPr>
        <sz val="11"/>
        <rFont val="Arial"/>
        <family val="0"/>
        <charset val="1"/>
      </rPr>
      <t xml:space="preserve">tag:Punch</t>
    </r>
  </si>
  <si>
    <t xml:space="preserve">5xfad-68</t>
  </si>
  <si>
    <t xml:space="preserve">5xfad-69</t>
  </si>
  <si>
    <t xml:space="preserve">5xfad-70</t>
  </si>
  <si>
    <t xml:space="preserve">5xfad-71</t>
  </si>
  <si>
    <t xml:space="preserve">5xfad-72</t>
  </si>
  <si>
    <t xml:space="preserve">5xfad-73</t>
  </si>
  <si>
    <t xml:space="preserve">5xfad-74</t>
  </si>
  <si>
    <t xml:space="preserve">5xfad-75</t>
  </si>
  <si>
    <r>
      <rPr>
        <sz val="11"/>
        <rFont val="Noto Sans CJK SC"/>
        <family val="2"/>
      </rPr>
      <t xml:space="preserve">右耳がくぼみのある形、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（切れ込み２つ）に見えるかもしれない </t>
    </r>
    <r>
      <rPr>
        <sz val="11"/>
        <rFont val="Arial"/>
        <family val="0"/>
        <charset val="1"/>
      </rPr>
      <t xml:space="preserve">tag:Punch</t>
    </r>
  </si>
  <si>
    <t xml:space="preserve">5xfad-76</t>
  </si>
  <si>
    <t xml:space="preserve">5xfad-77</t>
  </si>
  <si>
    <t xml:space="preserve">5xfad-78</t>
  </si>
  <si>
    <t xml:space="preserve">5xfad-79</t>
  </si>
  <si>
    <t xml:space="preserve">5xfad-80</t>
  </si>
  <si>
    <t xml:space="preserve">5xfad-81</t>
  </si>
  <si>
    <t xml:space="preserve">5xfad-82</t>
  </si>
  <si>
    <t xml:space="preserve">5xfad-83</t>
  </si>
  <si>
    <t xml:space="preserve">5xfad-84</t>
  </si>
  <si>
    <t xml:space="preserve">5xfad-85</t>
  </si>
  <si>
    <t xml:space="preserve">5xfad-86</t>
  </si>
  <si>
    <t xml:space="preserve">5xfad-87</t>
  </si>
  <si>
    <t xml:space="preserve">5xFAD-74</t>
  </si>
  <si>
    <t xml:space="preserve">WT-69</t>
  </si>
  <si>
    <t xml:space="preserve">5xfad-88</t>
  </si>
  <si>
    <t xml:space="preserve">5xfad-89</t>
  </si>
  <si>
    <t xml:space="preserve">5xfad-90</t>
  </si>
  <si>
    <t xml:space="preserve">5xfad-91</t>
  </si>
  <si>
    <t xml:space="preserve">5xfad-92</t>
  </si>
  <si>
    <t xml:space="preserve">5xfad-93</t>
  </si>
  <si>
    <t xml:space="preserve">5xfad-94</t>
  </si>
  <si>
    <t xml:space="preserve">5xFAD-82</t>
  </si>
  <si>
    <t xml:space="preserve">WT-70</t>
  </si>
  <si>
    <t xml:space="preserve">5xfad-95</t>
  </si>
  <si>
    <t xml:space="preserve">5xfad-96</t>
  </si>
  <si>
    <t xml:space="preserve">5xfad-97</t>
  </si>
  <si>
    <t xml:space="preserve">5xfad-98</t>
  </si>
  <si>
    <t xml:space="preserve">5xfad-99</t>
  </si>
  <si>
    <t xml:space="preserve">5xfad-100</t>
  </si>
  <si>
    <t xml:space="preserve">5xfad-101</t>
  </si>
  <si>
    <t xml:space="preserve">5xfad-102</t>
  </si>
  <si>
    <t xml:space="preserve">5xFAD-90</t>
  </si>
  <si>
    <t xml:space="preserve">5xFAD-94(WT)</t>
  </si>
  <si>
    <t xml:space="preserve">5xfad-103</t>
  </si>
  <si>
    <t xml:space="preserve">5xfad-104</t>
  </si>
  <si>
    <t xml:space="preserve">5xfad-105</t>
  </si>
  <si>
    <t xml:space="preserve">5xfad-106</t>
  </si>
  <si>
    <t xml:space="preserve">5xfad-107</t>
  </si>
  <si>
    <t xml:space="preserve">5xfad-108</t>
  </si>
  <si>
    <t xml:space="preserve">5xfad-109</t>
  </si>
  <si>
    <t xml:space="preserve">5xfad-110</t>
  </si>
  <si>
    <t xml:space="preserve">5xfad-111</t>
  </si>
  <si>
    <t xml:space="preserve">5xfad_aqp4ko-1</t>
  </si>
  <si>
    <t xml:space="preserve">5 x FAD x AQP4KO</t>
  </si>
  <si>
    <t xml:space="preserve">AQP4KO</t>
  </si>
  <si>
    <r>
      <rPr>
        <sz val="11"/>
        <rFont val="Noto Sans CJK SC"/>
        <family val="2"/>
      </rPr>
      <t xml:space="preserve">阿部先生から譲渡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生年月日はオス？</t>
    </r>
    <r>
      <rPr>
        <sz val="11"/>
        <rFont val="Arial"/>
        <family val="0"/>
        <charset val="1"/>
      </rPr>
      <t xml:space="preserve">)</t>
    </r>
  </si>
  <si>
    <t xml:space="preserve">5xfad_aqp4ko-2</t>
  </si>
  <si>
    <t xml:space="preserve">5 x FAD x AQP4KO 1</t>
  </si>
  <si>
    <t xml:space="preserve">AQP4KO 11</t>
  </si>
  <si>
    <t xml:space="preserve">5xfad_aqp4ko-3</t>
  </si>
  <si>
    <t xml:space="preserve">5xfad_aqp4ko-4</t>
  </si>
  <si>
    <t xml:space="preserve">5xfad_aqp4ko-5</t>
  </si>
  <si>
    <t xml:space="preserve">AQP4KO 12</t>
  </si>
  <si>
    <t xml:space="preserve">5xfad_aqp4ko-6</t>
  </si>
  <si>
    <t xml:space="preserve">5xfad_aqp4ko-7</t>
  </si>
  <si>
    <t xml:space="preserve">suntory tag:Punch</t>
  </si>
  <si>
    <t xml:space="preserve">5xfad_aqp4ko-8</t>
  </si>
  <si>
    <t xml:space="preserve">5xfad_aqp4ko-9</t>
  </si>
  <si>
    <t xml:space="preserve">5xfad_aqp4ko-10</t>
  </si>
  <si>
    <r>
      <rPr>
        <sz val="11"/>
        <rFont val="Arial"/>
        <family val="0"/>
        <charset val="1"/>
      </rPr>
      <t xml:space="preserve">suntory←</t>
    </r>
    <r>
      <rPr>
        <sz val="11"/>
        <rFont val="Noto Sans CJK SC"/>
        <family val="2"/>
      </rPr>
      <t xml:space="preserve">最後 </t>
    </r>
    <r>
      <rPr>
        <sz val="11"/>
        <rFont val="Arial"/>
        <family val="0"/>
        <charset val="1"/>
      </rPr>
      <t xml:space="preserve">tag:Punch</t>
    </r>
  </si>
  <si>
    <t xml:space="preserve">5xfad_aqp4ko-11</t>
  </si>
  <si>
    <t xml:space="preserve">5xfad_aqp4ko-12</t>
  </si>
  <si>
    <t xml:space="preserve">5xfad_aqp4ko-13</t>
  </si>
  <si>
    <t xml:space="preserve">5xfad_aqp4ko-14</t>
  </si>
  <si>
    <t xml:space="preserve">5xfad_aqp4ko-15</t>
  </si>
  <si>
    <t xml:space="preserve">5xfad_aqp4ko-16</t>
  </si>
  <si>
    <t xml:space="preserve">5xfad_aqp4ko-17</t>
  </si>
  <si>
    <t xml:space="preserve">5xfad_aqp4ko-18</t>
  </si>
  <si>
    <t xml:space="preserve">5xfad_aqp4ko-19</t>
  </si>
  <si>
    <t xml:space="preserve">5xfad_aqp4ko-20</t>
  </si>
  <si>
    <t xml:space="preserve">AQP4KO 8</t>
  </si>
  <si>
    <t xml:space="preserve">5xfad_aqp4ko-21</t>
  </si>
  <si>
    <r>
      <rPr>
        <sz val="11"/>
        <rFont val="Arial"/>
        <family val="0"/>
        <charset val="1"/>
      </rPr>
      <t xml:space="preserve">AQP4KO(</t>
    </r>
    <r>
      <rPr>
        <sz val="11"/>
        <rFont val="Noto Sans CJK SC"/>
        <family val="2"/>
      </rPr>
      <t xml:space="preserve">交配用</t>
    </r>
    <r>
      <rPr>
        <sz val="11"/>
        <rFont val="Arial"/>
        <family val="0"/>
        <charset val="1"/>
      </rPr>
      <t xml:space="preserve">) tag:Punch</t>
    </r>
  </si>
  <si>
    <t xml:space="preserve">5xfad_aqp4ko-22</t>
  </si>
  <si>
    <t xml:space="preserve">5xfad_aqp4ko-23</t>
  </si>
  <si>
    <t xml:space="preserve">5xfad_aqp4ko-24</t>
  </si>
  <si>
    <t xml:space="preserve">5xfad_aqp4ko-25</t>
  </si>
  <si>
    <t xml:space="preserve">5xfad_aqp4ko-26</t>
  </si>
  <si>
    <t xml:space="preserve">5xfad_aqp4ko-27</t>
  </si>
  <si>
    <r>
      <rPr>
        <sz val="11"/>
        <rFont val="Noto Sans CJK SC"/>
        <family val="2"/>
      </rPr>
      <t xml:space="preserve">衰弱 </t>
    </r>
    <r>
      <rPr>
        <sz val="11"/>
        <rFont val="Arial"/>
        <family val="0"/>
        <charset val="1"/>
      </rPr>
      <t xml:space="preserve">tag:Punch</t>
    </r>
  </si>
  <si>
    <t xml:space="preserve">5xfad_aqp4ko-28</t>
  </si>
  <si>
    <t xml:space="preserve">water intoxication tag:Punch</t>
  </si>
  <si>
    <t xml:space="preserve">5xfad_aqp4ko-29</t>
  </si>
  <si>
    <t xml:space="preserve">5xfad_aqp4ko-30</t>
  </si>
  <si>
    <r>
      <rPr>
        <sz val="11"/>
        <rFont val="Arial"/>
        <family val="0"/>
        <charset val="1"/>
      </rPr>
      <t xml:space="preserve">suntory (</t>
    </r>
    <r>
      <rPr>
        <sz val="11"/>
        <rFont val="Noto Sans CJK SC"/>
        <family val="2"/>
      </rPr>
      <t xml:space="preserve">予備</t>
    </r>
    <r>
      <rPr>
        <sz val="11"/>
        <rFont val="Arial"/>
        <family val="0"/>
        <charset val="1"/>
      </rPr>
      <t xml:space="preserve">) tag:Punch</t>
    </r>
  </si>
  <si>
    <t xml:space="preserve">5xfad_aqp4ko-31</t>
  </si>
  <si>
    <t xml:space="preserve">5xfad_aqp4ko-32</t>
  </si>
  <si>
    <t xml:space="preserve">5xfad_aqp4ko-33</t>
  </si>
  <si>
    <t xml:space="preserve">5xfad_aqp4ko-34</t>
  </si>
  <si>
    <t xml:space="preserve">5xfad_aqp4ko-35</t>
  </si>
  <si>
    <r>
      <rPr>
        <sz val="11"/>
        <rFont val="Noto Sans CJK SC"/>
        <family val="2"/>
      </rPr>
      <t xml:space="preserve">交配用を選ぶ </t>
    </r>
    <r>
      <rPr>
        <sz val="11"/>
        <rFont val="Arial"/>
        <family val="0"/>
        <charset val="1"/>
      </rPr>
      <t xml:space="preserve">tag:Punch</t>
    </r>
  </si>
  <si>
    <t xml:space="preserve">5xfad_aqp4ko-36</t>
  </si>
  <si>
    <t xml:space="preserve">5xfad_aqp4ko-37</t>
  </si>
  <si>
    <t xml:space="preserve">5xfad_aqp4ko-38</t>
  </si>
  <si>
    <t xml:space="preserve">5xfad_aqp4ko-39</t>
  </si>
  <si>
    <t xml:space="preserve">5xfad_aqp4ko-40</t>
  </si>
  <si>
    <t xml:space="preserve">5xfad_aqp4ko-41</t>
  </si>
  <si>
    <t xml:space="preserve">5xfad_aqp4ko-42</t>
  </si>
  <si>
    <t xml:space="preserve">5xfad_aqp4ko-43</t>
  </si>
  <si>
    <t xml:space="preserve">5xfad_aqp4ko-44</t>
  </si>
  <si>
    <t xml:space="preserve">5xfad_aqp4ko-45</t>
  </si>
  <si>
    <r>
      <rPr>
        <sz val="11"/>
        <rFont val="Noto Sans CJK SC"/>
        <family val="2"/>
      </rPr>
      <t xml:space="preserve">発育不良 </t>
    </r>
    <r>
      <rPr>
        <sz val="11"/>
        <rFont val="Arial"/>
        <family val="0"/>
        <charset val="1"/>
      </rPr>
      <t xml:space="preserve">tag:Punch</t>
    </r>
  </si>
  <si>
    <t xml:space="preserve">5xfad_aqp4ko-46</t>
  </si>
  <si>
    <r>
      <rPr>
        <sz val="11"/>
        <rFont val="Noto Sans CJK SC"/>
        <family val="2"/>
      </rPr>
      <t xml:space="preserve">交配用を選ぶ　自然死 </t>
    </r>
    <r>
      <rPr>
        <sz val="11"/>
        <rFont val="Arial"/>
        <family val="0"/>
        <charset val="1"/>
      </rPr>
      <t xml:space="preserve">tag:Punch</t>
    </r>
  </si>
  <si>
    <t xml:space="preserve">5xfad_aqp4ko-47</t>
  </si>
  <si>
    <t xml:space="preserve">5xfad_aqp4ko-48</t>
  </si>
  <si>
    <t xml:space="preserve">5xfad_aqp4ko-49</t>
  </si>
  <si>
    <t xml:space="preserve">5xfad_aqp4ko-50</t>
  </si>
  <si>
    <t xml:space="preserve">5xfad_aqp4ko-51</t>
  </si>
  <si>
    <t xml:space="preserve">5xfad_aqp4ko-52</t>
  </si>
  <si>
    <t xml:space="preserve">5xfad_aqp4ko-53</t>
  </si>
  <si>
    <t xml:space="preserve">5xfad_aqp4ko-54</t>
  </si>
  <si>
    <t xml:space="preserve">5xfad_aqp4ko-55</t>
  </si>
  <si>
    <t xml:space="preserve">5xfad_aqp4ko-56</t>
  </si>
  <si>
    <t xml:space="preserve">5xfad_aqp4ko-57</t>
  </si>
  <si>
    <t xml:space="preserve">5xfad_aqp4ko-58</t>
  </si>
  <si>
    <r>
      <rPr>
        <sz val="11"/>
        <rFont val="Arial"/>
        <family val="0"/>
        <charset val="1"/>
      </rPr>
      <t xml:space="preserve">AQP4</t>
    </r>
    <r>
      <rPr>
        <sz val="11"/>
        <rFont val="Noto Sans CJK SC"/>
        <family val="2"/>
      </rPr>
      <t xml:space="preserve">バンド出ず </t>
    </r>
    <r>
      <rPr>
        <sz val="11"/>
        <rFont val="Arial"/>
        <family val="0"/>
        <charset val="1"/>
      </rPr>
      <t xml:space="preserve">tag:Punch</t>
    </r>
  </si>
  <si>
    <t xml:space="preserve">5xfad_aqp4ko-59</t>
  </si>
  <si>
    <t xml:space="preserve">5xfad_aqp4ko-60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</si>
  <si>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　</t>
    </r>
    <r>
      <rPr>
        <sz val="11"/>
        <rFont val="Arial"/>
        <family val="0"/>
        <charset val="1"/>
      </rPr>
      <t xml:space="preserve">53</t>
    </r>
  </si>
  <si>
    <t xml:space="preserve">AQP4KO 34</t>
  </si>
  <si>
    <t xml:space="preserve">5xfad_aqp4ko-61</t>
  </si>
  <si>
    <t xml:space="preserve">5xfad_aqp4ko-62</t>
  </si>
  <si>
    <t xml:space="preserve">5xfad_aqp4ko-63</t>
  </si>
  <si>
    <t xml:space="preserve">5xfad_aqp4ko-64</t>
  </si>
  <si>
    <t xml:space="preserve">AQP4KO 33</t>
  </si>
  <si>
    <t xml:space="preserve">5xfad_aqp4ko-65</t>
  </si>
  <si>
    <t xml:space="preserve">5xfad_aqp4ko-66</t>
  </si>
  <si>
    <t xml:space="preserve">5xfad_aqp4ko-67</t>
  </si>
  <si>
    <t xml:space="preserve">5xfad_aqp4ko-68</t>
  </si>
  <si>
    <t xml:space="preserve">5xfad_aqp4ko-69</t>
  </si>
  <si>
    <t xml:space="preserve">5xfad_aqp4ko-70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</si>
  <si>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　</t>
    </r>
    <r>
      <rPr>
        <sz val="11"/>
        <rFont val="Arial"/>
        <family val="0"/>
        <charset val="1"/>
      </rPr>
      <t xml:space="preserve">65</t>
    </r>
  </si>
  <si>
    <t xml:space="preserve">AQP4KO 59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</si>
  <si>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交配用 </t>
    </r>
    <r>
      <rPr>
        <sz val="11"/>
        <rFont val="Arial"/>
        <family val="0"/>
        <charset val="1"/>
      </rPr>
      <t xml:space="preserve">tag:Punch orig:</t>
    </r>
    <r>
      <rPr>
        <sz val="11"/>
        <rFont val="Noto Sans CJK SC"/>
        <family val="2"/>
      </rPr>
      <t xml:space="preserve">交配予定</t>
    </r>
  </si>
  <si>
    <t xml:space="preserve">5xfad_aqp4ko-71</t>
  </si>
  <si>
    <t xml:space="preserve">5xfad_aqp4ko-72</t>
  </si>
  <si>
    <t xml:space="preserve">5xfad_aqp4ko-73</t>
  </si>
  <si>
    <t xml:space="preserve">5xfad_aqp4ko-74</t>
  </si>
  <si>
    <t xml:space="preserve">5xfad_aqp4ko-75</t>
  </si>
  <si>
    <t xml:space="preserve">5xfad_aqp4ko-76</t>
  </si>
  <si>
    <t xml:space="preserve">5xfad_aqp4ko-77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</si>
  <si>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　</t>
    </r>
    <r>
      <rPr>
        <sz val="11"/>
        <rFont val="Arial"/>
        <family val="0"/>
        <charset val="1"/>
      </rPr>
      <t xml:space="preserve">60</t>
    </r>
  </si>
  <si>
    <t xml:space="preserve">AQP4KO 57</t>
  </si>
  <si>
    <t xml:space="preserve">5xfad_aqp4ko-78</t>
  </si>
  <si>
    <t xml:space="preserve">5xfad_aqp4ko-79</t>
  </si>
  <si>
    <t xml:space="preserve">5xfad_aqp4ko-80</t>
  </si>
  <si>
    <t xml:space="preserve">5xfad_aqp4ko-81</t>
  </si>
  <si>
    <t xml:space="preserve">5xfad_aqp4ko-82</t>
  </si>
  <si>
    <t xml:space="preserve">5xfad_aqp4ko-83</t>
  </si>
  <si>
    <t xml:space="preserve">5xfad_aqp4ko-84</t>
  </si>
  <si>
    <t xml:space="preserve">5 x FAD 121</t>
  </si>
  <si>
    <t xml:space="preserve">AQP4KO 80</t>
  </si>
  <si>
    <t xml:space="preserve">5xfad_aqp4ko-85</t>
  </si>
  <si>
    <t xml:space="preserve">5xfad_aqp4ko-86</t>
  </si>
  <si>
    <t xml:space="preserve">5xfad_aqp4ko-87</t>
  </si>
  <si>
    <t xml:space="preserve">5xfad_aqp4ko-88</t>
  </si>
  <si>
    <t xml:space="preserve">5xfad_aqp4ko-89</t>
  </si>
  <si>
    <t xml:space="preserve">5xfad_aqp4ko-90</t>
  </si>
  <si>
    <t xml:space="preserve">5xfad_aqp4ko-91</t>
  </si>
  <si>
    <t xml:space="preserve">5xfad_aqp4ko-92</t>
  </si>
  <si>
    <t xml:space="preserve">5xfad_aqp4ko-93</t>
  </si>
  <si>
    <t xml:space="preserve">5xfad_aqp4ko-94</t>
  </si>
  <si>
    <t xml:space="preserve">5 x FAD 120</t>
  </si>
  <si>
    <t xml:space="preserve">AQP4KO 79</t>
  </si>
  <si>
    <t xml:space="preserve">5xfad_aqp4ko-95</t>
  </si>
  <si>
    <t xml:space="preserve">5xfad_aqp4ko-96</t>
  </si>
  <si>
    <t xml:space="preserve">5xfad_aqp4ko-97</t>
  </si>
  <si>
    <t xml:space="preserve">5xfad_aqp4ko-98</t>
  </si>
  <si>
    <t xml:space="preserve">5xfad_aqp4ko-99</t>
  </si>
  <si>
    <t xml:space="preserve">aqp4ko-1</t>
  </si>
  <si>
    <t xml:space="preserve">AQP4KO-28</t>
  </si>
  <si>
    <t xml:space="preserve">AQP4KO-10</t>
  </si>
  <si>
    <t xml:space="preserve">aqp4ko-2</t>
  </si>
  <si>
    <t xml:space="preserve">aqp4ko-3</t>
  </si>
  <si>
    <t xml:space="preserve">aqp4ko-4</t>
  </si>
  <si>
    <t xml:space="preserve">aqp4ko-5</t>
  </si>
  <si>
    <t xml:space="preserve">AQP4KO-6</t>
  </si>
  <si>
    <t xml:space="preserve">AQP4KO-25</t>
  </si>
  <si>
    <t xml:space="preserve">aqp4ko-6</t>
  </si>
  <si>
    <t xml:space="preserve">aqp4ko-7</t>
  </si>
  <si>
    <t xml:space="preserve">aqp4ko-8</t>
  </si>
  <si>
    <t xml:space="preserve">aqp4ko-9</t>
  </si>
  <si>
    <t xml:space="preserve">aqp4ko-10</t>
  </si>
  <si>
    <t xml:space="preserve">aqp4ko-11</t>
  </si>
  <si>
    <t xml:space="preserve">aqp4ko-12</t>
  </si>
  <si>
    <t xml:space="preserve">aqp4ko-13</t>
  </si>
  <si>
    <t xml:space="preserve">AQP4KO-1</t>
  </si>
  <si>
    <t xml:space="preserve">AQP4KO-9</t>
  </si>
  <si>
    <t xml:space="preserve">aqp4ko-14</t>
  </si>
  <si>
    <t xml:space="preserve">aqp4ko-15</t>
  </si>
  <si>
    <t xml:space="preserve">aqp4ko-16</t>
  </si>
  <si>
    <t xml:space="preserve">aqp4ko-17</t>
  </si>
  <si>
    <t xml:space="preserve">aqp4ko-18</t>
  </si>
  <si>
    <t xml:space="preserve">aqp4ko-19</t>
  </si>
  <si>
    <t xml:space="preserve">aqp4ko-20</t>
  </si>
  <si>
    <t xml:space="preserve">aqp4ko-21</t>
  </si>
  <si>
    <t xml:space="preserve">aqp4ko-22</t>
  </si>
  <si>
    <t xml:space="preserve">aqp4ko-23</t>
  </si>
  <si>
    <t xml:space="preserve">aqp4ko-24</t>
  </si>
  <si>
    <t xml:space="preserve">aqp4ko-25</t>
  </si>
  <si>
    <t xml:space="preserve">aqp4ko-26</t>
  </si>
  <si>
    <t xml:space="preserve">aqp4ko-27</t>
  </si>
  <si>
    <t xml:space="preserve">aqp4ko-28</t>
  </si>
  <si>
    <t xml:space="preserve">5xFAD-AQP4KO-41</t>
  </si>
  <si>
    <t xml:space="preserve">5xFAD-AQP4KO-55</t>
  </si>
  <si>
    <t xml:space="preserve">aqp4ko-29</t>
  </si>
  <si>
    <t xml:space="preserve">aqp4ko-30</t>
  </si>
  <si>
    <t xml:space="preserve">aqp4ko-31</t>
  </si>
  <si>
    <t xml:space="preserve">aqp4ko-32</t>
  </si>
  <si>
    <t xml:space="preserve">aqp4ko-33</t>
  </si>
  <si>
    <t xml:space="preserve">aqp4ko-34</t>
  </si>
  <si>
    <t xml:space="preserve">aqp4ko-35</t>
  </si>
  <si>
    <t xml:space="preserve">aqp4ko-36</t>
  </si>
  <si>
    <t xml:space="preserve">5xFAD-AQP4KO-36</t>
  </si>
  <si>
    <t xml:space="preserve">→mita tag:Punch</t>
  </si>
  <si>
    <t xml:space="preserve">aqp4ko-37</t>
  </si>
  <si>
    <t xml:space="preserve">aqp4ko-38</t>
  </si>
  <si>
    <t xml:space="preserve">aqp4ko-39</t>
  </si>
  <si>
    <t xml:space="preserve">aqp4ko-40</t>
  </si>
  <si>
    <t xml:space="preserve">aqp4ko-41</t>
  </si>
  <si>
    <t xml:space="preserve">aqp4ko-42</t>
  </si>
  <si>
    <t xml:space="preserve">aqp4ko-43</t>
  </si>
  <si>
    <t xml:space="preserve">aqp4ko-44</t>
  </si>
  <si>
    <t xml:space="preserve">aqp4ko-45</t>
  </si>
  <si>
    <t xml:space="preserve">aqp4ko-46</t>
  </si>
  <si>
    <t xml:space="preserve">aqp4ko-47</t>
  </si>
  <si>
    <t xml:space="preserve">aqp4ko-48</t>
  </si>
  <si>
    <t xml:space="preserve">aqp4ko-49</t>
  </si>
  <si>
    <t xml:space="preserve">aqp4ko-50</t>
  </si>
  <si>
    <t xml:space="preserve">aqp4ko-51</t>
  </si>
  <si>
    <t xml:space="preserve">From Abe sensei→mita</t>
  </si>
  <si>
    <t xml:space="preserve">aqp4ko-52</t>
  </si>
  <si>
    <t xml:space="preserve">aqp4ko-53</t>
  </si>
  <si>
    <t xml:space="preserve">aqp4ko-54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</si>
  <si>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37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</si>
  <si>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31</t>
    </r>
  </si>
  <si>
    <t xml:space="preserve">aqp4ko-55</t>
  </si>
  <si>
    <t xml:space="preserve">aqp4ko-56</t>
  </si>
  <si>
    <t xml:space="preserve">aqp4ko-57</t>
  </si>
  <si>
    <t xml:space="preserve">aqp4ko-58</t>
  </si>
  <si>
    <t xml:space="preserve">aqp4ko-59</t>
  </si>
  <si>
    <t xml:space="preserve">aqp4ko-60</t>
  </si>
  <si>
    <t xml:space="preserve">aqp4ko-61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</si>
  <si>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56</t>
    </r>
  </si>
  <si>
    <t xml:space="preserve">aqp4ko-62</t>
  </si>
  <si>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実験中</t>
    </r>
  </si>
  <si>
    <t xml:space="preserve">aqp4ko-63</t>
  </si>
  <si>
    <t xml:space="preserve">aqp4ko-64</t>
  </si>
  <si>
    <t xml:space="preserve">aqp4ko-65</t>
  </si>
  <si>
    <t xml:space="preserve">aqp4ko-66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</si>
  <si>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54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</si>
  <si>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63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</si>
  <si>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2026/05/12</t>
    </r>
    <r>
      <rPr>
        <sz val="11"/>
        <rFont val="Noto Sans CJK SC"/>
        <family val="2"/>
      </rPr>
      <t xml:space="preserve">終了 </t>
    </r>
    <r>
      <rPr>
        <sz val="11"/>
        <rFont val="Arial"/>
        <family val="0"/>
        <charset val="1"/>
      </rPr>
      <t xml:space="preserve">tag:Punch</t>
    </r>
  </si>
  <si>
    <t xml:space="preserve">aqp4ko-67</t>
  </si>
  <si>
    <t xml:space="preserve">aqp4ko-68</t>
  </si>
  <si>
    <t xml:space="preserve">aqp4ko-69</t>
  </si>
  <si>
    <t xml:space="preserve">aqp4ko-70</t>
  </si>
  <si>
    <t xml:space="preserve">aqp4ko-71</t>
  </si>
  <si>
    <t xml:space="preserve">aqp4ko-72</t>
  </si>
  <si>
    <t xml:space="preserve">aqp4ko-73</t>
  </si>
  <si>
    <t xml:space="preserve">aqp4ko-74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</si>
  <si>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交配用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育児中</t>
    </r>
  </si>
  <si>
    <t xml:space="preserve">aqp4ko-75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</si>
  <si>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55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</si>
  <si>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64</t>
    </r>
  </si>
  <si>
    <t xml:space="preserve">aqp4ko-76</t>
  </si>
  <si>
    <t xml:space="preserve">aqp4ko-77</t>
  </si>
  <si>
    <r>
      <rPr>
        <sz val="11"/>
        <rFont val="Arial"/>
        <family val="0"/>
        <charset val="1"/>
      </rPr>
      <t xml:space="preserve">CAGEGFP/AQP4KO</t>
    </r>
    <r>
      <rPr>
        <sz val="11"/>
        <rFont val="Noto Sans CJK SC"/>
        <family val="2"/>
      </rPr>
      <t xml:space="preserve">交配用→出産見込みなし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交配中</t>
    </r>
  </si>
  <si>
    <t xml:space="preserve">aqp4ko-78</t>
  </si>
  <si>
    <r>
      <rPr>
        <sz val="11"/>
        <rFont val="Arial"/>
        <family val="0"/>
        <charset val="1"/>
      </rPr>
      <t xml:space="preserve">CAGEGFP/AQP4KO</t>
    </r>
    <r>
      <rPr>
        <sz val="11"/>
        <rFont val="Noto Sans CJK SC"/>
        <family val="2"/>
      </rPr>
      <t xml:space="preserve">交配用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育児中</t>
    </r>
  </si>
  <si>
    <t xml:space="preserve">aqp4ko-79</t>
  </si>
  <si>
    <r>
      <rPr>
        <sz val="11"/>
        <rFont val="Arial"/>
        <family val="0"/>
        <charset val="1"/>
      </rPr>
      <t xml:space="preserve">5 x FAD x AQP4KO</t>
    </r>
    <r>
      <rPr>
        <sz val="11"/>
        <rFont val="Noto Sans CJK SC"/>
        <family val="2"/>
      </rPr>
      <t xml:space="preserve">交配用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育児中</t>
    </r>
  </si>
  <si>
    <t xml:space="preserve">aqp4ko-80</t>
  </si>
  <si>
    <t xml:space="preserve">aqp4ko-81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</si>
  <si>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75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</si>
  <si>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74</t>
    </r>
  </si>
  <si>
    <t xml:space="preserve">→尾崎さん</t>
  </si>
  <si>
    <t xml:space="preserve">aqp4ko-82</t>
  </si>
  <si>
    <t xml:space="preserve">aqp4ko-83</t>
  </si>
  <si>
    <t xml:space="preserve">aqp4ko-84</t>
  </si>
  <si>
    <t xml:space="preserve">aqp4ko-85</t>
  </si>
  <si>
    <t xml:space="preserve">aqp4ko-86</t>
  </si>
  <si>
    <t xml:space="preserve">aqp4ko-87</t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</si>
  <si>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66</t>
    </r>
  </si>
  <si>
    <r>
      <rPr>
        <sz val="11"/>
        <rFont val="Arial"/>
        <family val="0"/>
        <charset val="1"/>
      </rPr>
      <t xml:space="preserve">AQP4KO</t>
    </r>
    <r>
      <rPr>
        <sz val="11"/>
        <rFont val="Noto Sans CJK SC"/>
        <family val="2"/>
      </rPr>
      <t xml:space="preserve">＃</t>
    </r>
    <r>
      <rPr>
        <sz val="11"/>
        <rFont val="Arial"/>
        <family val="0"/>
        <charset val="1"/>
      </rPr>
      <t xml:space="preserve">76</t>
    </r>
  </si>
  <si>
    <t xml:space="preserve">aqp4ko-88</t>
  </si>
  <si>
    <t xml:space="preserve">aqp4ko-89</t>
  </si>
  <si>
    <t xml:space="preserve">aqp4ko-90</t>
  </si>
  <si>
    <t xml:space="preserve">aqp4ko-91</t>
  </si>
  <si>
    <t xml:space="preserve">aqp4ko-92</t>
  </si>
  <si>
    <t xml:space="preserve">aqp4ko-93</t>
  </si>
  <si>
    <t xml:space="preserve">aqp4ko-94</t>
  </si>
  <si>
    <t xml:space="preserve">aqp4ko-95</t>
  </si>
  <si>
    <t xml:space="preserve">aqp4ko-96</t>
  </si>
  <si>
    <t xml:space="preserve">aqp4ko-97</t>
  </si>
  <si>
    <t xml:space="preserve">aqp4ko-98</t>
  </si>
  <si>
    <t xml:space="preserve">aqp4ko-99</t>
  </si>
  <si>
    <t xml:space="preserve">aqp4ko-100</t>
  </si>
  <si>
    <t xml:space="preserve">aqp4ko-101</t>
  </si>
  <si>
    <t xml:space="preserve">aqp4ko-102</t>
  </si>
  <si>
    <t xml:space="preserve">aqp4ko-103</t>
  </si>
  <si>
    <t xml:space="preserve">aqp4ko-104</t>
  </si>
  <si>
    <t xml:space="preserve">aqp4ko-105</t>
  </si>
  <si>
    <t xml:space="preserve">aqp4ko-106</t>
  </si>
  <si>
    <t xml:space="preserve">aqp4ko-107</t>
  </si>
  <si>
    <t xml:space="preserve">aqp4ko-108</t>
  </si>
  <si>
    <t xml:space="preserve">aqp4ko-109</t>
  </si>
  <si>
    <t xml:space="preserve">aqp4ko-110</t>
  </si>
  <si>
    <t xml:space="preserve">aqp4ko-111</t>
  </si>
  <si>
    <t xml:space="preserve">aqp4ko-112</t>
  </si>
  <si>
    <t xml:space="preserve">aqp4ko-113</t>
  </si>
  <si>
    <t xml:space="preserve">aqp4ko-114</t>
  </si>
  <si>
    <t xml:space="preserve">aqp4ko-115</t>
  </si>
  <si>
    <t xml:space="preserve">aqp4ko-116</t>
  </si>
  <si>
    <t xml:space="preserve">aqp4ko-117</t>
  </si>
  <si>
    <t xml:space="preserve">aqp4ko-118</t>
  </si>
  <si>
    <t xml:space="preserve">aqp4ko-119</t>
  </si>
  <si>
    <t xml:space="preserve">aqp4ko-120</t>
  </si>
  <si>
    <t xml:space="preserve">aqp4ko-121</t>
  </si>
  <si>
    <t xml:space="preserve">cagegfp-105</t>
  </si>
  <si>
    <t xml:space="preserve">CAG-EGFP 69</t>
  </si>
  <si>
    <t xml:space="preserve">CAG-EGFP 65</t>
  </si>
  <si>
    <t xml:space="preserve">cagegfp-106</t>
  </si>
  <si>
    <t xml:space="preserve">cagegfp-107</t>
  </si>
  <si>
    <t xml:space="preserve">cagegfp-108</t>
  </si>
  <si>
    <t xml:space="preserve">cagegfp-109</t>
  </si>
  <si>
    <t xml:space="preserve">cagegfp-110</t>
  </si>
  <si>
    <t xml:space="preserve">cagegfp-111</t>
  </si>
  <si>
    <t xml:space="preserve">cagegfp-112</t>
  </si>
  <si>
    <t xml:space="preserve">cagegfp-113</t>
  </si>
  <si>
    <t xml:space="preserve">cagegfp-114</t>
  </si>
  <si>
    <t xml:space="preserve">CAG-EGFP</t>
  </si>
  <si>
    <r>
      <rPr>
        <sz val="11"/>
        <rFont val="Arial"/>
        <family val="0"/>
        <charset val="1"/>
      </rPr>
      <t xml:space="preserve">RIKEN</t>
    </r>
    <r>
      <rPr>
        <sz val="11"/>
        <rFont val="Noto Sans CJK SC"/>
        <family val="2"/>
      </rPr>
      <t xml:space="preserve">から搬入（</t>
    </r>
    <r>
      <rPr>
        <sz val="11"/>
        <rFont val="Arial"/>
        <family val="0"/>
        <charset val="1"/>
      </rPr>
      <t xml:space="preserve">2025/9/3</t>
    </r>
    <r>
      <rPr>
        <sz val="11"/>
        <rFont val="Noto Sans CJK SC"/>
        <family val="2"/>
      </rPr>
      <t xml:space="preserve">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</si>
  <si>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cagegfp-115</t>
  </si>
  <si>
    <r>
      <rPr>
        <sz val="11"/>
        <rFont val="Arial"/>
        <family val="0"/>
        <charset val="1"/>
      </rPr>
      <t xml:space="preserve">RIKEN</t>
    </r>
    <r>
      <rPr>
        <sz val="11"/>
        <rFont val="Noto Sans CJK SC"/>
        <family val="2"/>
      </rPr>
      <t xml:space="preserve">から搬入（</t>
    </r>
    <r>
      <rPr>
        <sz val="11"/>
        <rFont val="Arial"/>
        <family val="0"/>
        <charset val="1"/>
      </rPr>
      <t xml:space="preserve">2025/9/3</t>
    </r>
    <r>
      <rPr>
        <sz val="11"/>
        <rFont val="Noto Sans CJK SC"/>
        <family val="2"/>
      </rPr>
      <t xml:space="preserve">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</si>
  <si>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cagegfp-116</t>
  </si>
  <si>
    <r>
      <rPr>
        <sz val="11"/>
        <rFont val="Arial"/>
        <family val="0"/>
        <charset val="1"/>
      </rPr>
      <t xml:space="preserve">RIKEN</t>
    </r>
    <r>
      <rPr>
        <sz val="11"/>
        <rFont val="Noto Sans CJK SC"/>
        <family val="2"/>
      </rPr>
      <t xml:space="preserve">から搬入（</t>
    </r>
    <r>
      <rPr>
        <sz val="11"/>
        <rFont val="Arial"/>
        <family val="0"/>
        <charset val="1"/>
      </rPr>
      <t xml:space="preserve">2025/9/3</t>
    </r>
    <r>
      <rPr>
        <sz val="11"/>
        <rFont val="Noto Sans CJK SC"/>
        <family val="2"/>
      </rPr>
      <t xml:space="preserve">）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</si>
  <si>
    <t xml:space="preserve">cagegfp-117</t>
  </si>
  <si>
    <t xml:space="preserve">cagegfp-118</t>
  </si>
  <si>
    <r>
      <rPr>
        <sz val="11"/>
        <rFont val="Noto Sans CJK SC"/>
        <family val="2"/>
      </rPr>
      <t xml:space="preserve">三協ラボから搬入（</t>
    </r>
    <r>
      <rPr>
        <sz val="11"/>
        <rFont val="Arial"/>
        <family val="0"/>
        <charset val="1"/>
      </rPr>
      <t xml:space="preserve">2025/9/9</t>
    </r>
    <r>
      <rPr>
        <sz val="11"/>
        <rFont val="Noto Sans CJK SC"/>
        <family val="2"/>
      </rPr>
      <t xml:space="preserve">）</t>
    </r>
  </si>
  <si>
    <t xml:space="preserve">cagegfp-119</t>
  </si>
  <si>
    <t xml:space="preserve">cagegfp-120</t>
  </si>
  <si>
    <t xml:space="preserve">cagegfp-121</t>
  </si>
  <si>
    <t xml:space="preserve">cagegfp-122</t>
  </si>
  <si>
    <t xml:space="preserve">cagegfp-123</t>
  </si>
  <si>
    <t xml:space="preserve">CAG-EGFP 115</t>
  </si>
  <si>
    <t xml:space="preserve">CAG-EGFP 117</t>
  </si>
  <si>
    <t xml:space="preserve">cagegfp-124</t>
  </si>
  <si>
    <t xml:space="preserve">cagegfp-125</t>
  </si>
  <si>
    <r>
      <rPr>
        <sz val="11"/>
        <rFont val="Arial"/>
        <family val="0"/>
        <charset val="1"/>
      </rPr>
      <t xml:space="preserve">CAG-EGFP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2026/06/01</t>
    </r>
    <r>
      <rPr>
        <sz val="11"/>
        <rFont val="Noto Sans CJK SC"/>
        <family val="2"/>
      </rPr>
      <t xml:space="preserve">終了 </t>
    </r>
    <r>
      <rPr>
        <sz val="11"/>
        <rFont val="Arial"/>
        <family val="0"/>
        <charset val="1"/>
      </rPr>
      <t xml:space="preserve">tag:Punch</t>
    </r>
  </si>
  <si>
    <t xml:space="preserve">cagegfp-126</t>
  </si>
  <si>
    <r>
      <rPr>
        <sz val="11"/>
        <rFont val="Arial"/>
        <family val="0"/>
        <charset val="1"/>
      </rPr>
      <t xml:space="preserve">CAG-EGFP</t>
    </r>
    <r>
      <rPr>
        <sz val="11"/>
        <rFont val="Noto Sans CJK SC"/>
        <family val="2"/>
      </rPr>
      <t xml:space="preserve">交配用→子死亡（食殺） </t>
    </r>
    <r>
      <rPr>
        <sz val="11"/>
        <rFont val="Arial"/>
        <family val="0"/>
        <charset val="1"/>
      </rPr>
      <t xml:space="preserve">tag:Punch</t>
    </r>
  </si>
  <si>
    <t xml:space="preserve">cagegfp-127</t>
  </si>
  <si>
    <t xml:space="preserve">cagegfp-128</t>
  </si>
  <si>
    <t xml:space="preserve">CAG-EGFP 114</t>
  </si>
  <si>
    <t xml:space="preserve">CAG-EGFP 116</t>
  </si>
  <si>
    <t xml:space="preserve">cagegfp-129</t>
  </si>
  <si>
    <t xml:space="preserve">cagegfp-130</t>
  </si>
  <si>
    <t xml:space="preserve">cagegfp-131</t>
  </si>
  <si>
    <t xml:space="preserve">cagegfp-132</t>
  </si>
  <si>
    <t xml:space="preserve">cagegfp-133</t>
  </si>
  <si>
    <t xml:space="preserve">cagegfp-134</t>
  </si>
  <si>
    <t xml:space="preserve">cagegfp-135</t>
  </si>
  <si>
    <t xml:space="preserve">cagegfp-136</t>
  </si>
  <si>
    <r>
      <rPr>
        <sz val="11"/>
        <rFont val="Arial"/>
        <family val="0"/>
        <charset val="1"/>
      </rPr>
      <t xml:space="preserve">CAG-EGFP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2026/05/18</t>
    </r>
    <r>
      <rPr>
        <sz val="11"/>
        <rFont val="Noto Sans CJK SC"/>
        <family val="2"/>
      </rPr>
      <t xml:space="preserve">終了 </t>
    </r>
    <r>
      <rPr>
        <sz val="11"/>
        <rFont val="Arial"/>
        <family val="0"/>
        <charset val="1"/>
      </rPr>
      <t xml:space="preserve">tag:Punch</t>
    </r>
  </si>
  <si>
    <t xml:space="preserve">cagegfp-137</t>
  </si>
  <si>
    <t xml:space="preserve">cagegfp-138</t>
  </si>
  <si>
    <r>
      <rPr>
        <sz val="11"/>
        <rFont val="Arial"/>
        <family val="0"/>
        <charset val="1"/>
      </rPr>
      <t xml:space="preserve">CAGEGFP/AQP4KO</t>
    </r>
    <r>
      <rPr>
        <sz val="11"/>
        <rFont val="Noto Sans CJK SC"/>
        <family val="2"/>
      </rPr>
      <t xml:space="preserve">交配用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交配中</t>
    </r>
  </si>
  <si>
    <t xml:space="preserve">cagegfp-139</t>
  </si>
  <si>
    <t xml:space="preserve">cagegfp-140</t>
  </si>
  <si>
    <t xml:space="preserve">cagegfp-141</t>
  </si>
  <si>
    <t xml:space="preserve">cagegfp-142</t>
  </si>
  <si>
    <t xml:space="preserve">cagegfp-143</t>
  </si>
  <si>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交配中</t>
    </r>
  </si>
  <si>
    <t xml:space="preserve">cagegfp-144</t>
  </si>
  <si>
    <t xml:space="preserve">cagegfp-145</t>
  </si>
  <si>
    <r>
      <rPr>
        <sz val="11"/>
        <rFont val="Arial"/>
        <family val="0"/>
        <charset val="1"/>
      </rPr>
      <t xml:space="preserve">CAGEGFP/AQP4KO</t>
    </r>
    <r>
      <rPr>
        <sz val="11"/>
        <rFont val="Noto Sans CJK SC"/>
        <family val="2"/>
      </rPr>
      <t xml:space="preserve">交配用→</t>
    </r>
    <r>
      <rPr>
        <sz val="11"/>
        <rFont val="Arial"/>
        <family val="0"/>
        <charset val="1"/>
      </rPr>
      <t xml:space="preserve">2026/05/18</t>
    </r>
    <r>
      <rPr>
        <sz val="11"/>
        <rFont val="Noto Sans CJK SC"/>
        <family val="2"/>
      </rPr>
      <t xml:space="preserve">終了 </t>
    </r>
    <r>
      <rPr>
        <sz val="11"/>
        <rFont val="Arial"/>
        <family val="0"/>
        <charset val="1"/>
      </rPr>
      <t xml:space="preserve">tag:Punch</t>
    </r>
  </si>
  <si>
    <t xml:space="preserve">cagegfp-146</t>
  </si>
  <si>
    <t xml:space="preserve">cagegfp-147</t>
  </si>
  <si>
    <t xml:space="preserve">cagegfp-148</t>
  </si>
  <si>
    <r>
      <rPr>
        <sz val="11"/>
        <rFont val="Arial"/>
        <family val="0"/>
        <charset val="1"/>
      </rPr>
      <t xml:space="preserve">tag:Punch orig:</t>
    </r>
    <r>
      <rPr>
        <sz val="11"/>
        <rFont val="Noto Sans CJK SC"/>
        <family val="2"/>
      </rPr>
      <t xml:space="preserve">交配中</t>
    </r>
  </si>
  <si>
    <t xml:space="preserve">cagegfp-149</t>
  </si>
  <si>
    <t xml:space="preserve">cagegfp-150</t>
  </si>
  <si>
    <t xml:space="preserve">cagegfp-1</t>
  </si>
  <si>
    <r>
      <rPr>
        <sz val="11"/>
        <rFont val="Arial"/>
        <family val="0"/>
        <charset val="1"/>
      </rPr>
      <t xml:space="preserve">RIKEN</t>
    </r>
    <r>
      <rPr>
        <sz val="11"/>
        <rFont val="Noto Sans CJK SC"/>
        <family val="2"/>
      </rPr>
      <t xml:space="preserve">から搬入（</t>
    </r>
    <r>
      <rPr>
        <sz val="11"/>
        <rFont val="Arial"/>
        <family val="0"/>
        <charset val="1"/>
      </rPr>
      <t xml:space="preserve">2023/1/17</t>
    </r>
    <r>
      <rPr>
        <sz val="11"/>
        <rFont val="Noto Sans CJK SC"/>
        <family val="2"/>
      </rPr>
      <t xml:space="preserve">）</t>
    </r>
  </si>
  <si>
    <t xml:space="preserve">cagegfp-2</t>
  </si>
  <si>
    <t xml:space="preserve">cagegfp-3</t>
  </si>
  <si>
    <t xml:space="preserve">cagegfp-4</t>
  </si>
  <si>
    <t xml:space="preserve">cagegfp-5</t>
  </si>
  <si>
    <t xml:space="preserve">cagegfp-6</t>
  </si>
  <si>
    <r>
      <rPr>
        <sz val="11"/>
        <rFont val="Noto Sans CJK SC"/>
        <family val="2"/>
      </rPr>
      <t xml:space="preserve">三協ラボから搬入（</t>
    </r>
    <r>
      <rPr>
        <sz val="11"/>
        <rFont val="Arial"/>
        <family val="0"/>
        <charset val="1"/>
      </rPr>
      <t xml:space="preserve">2023/11/28</t>
    </r>
    <r>
      <rPr>
        <sz val="11"/>
        <rFont val="Noto Sans CJK SC"/>
        <family val="2"/>
      </rPr>
      <t xml:space="preserve">）</t>
    </r>
  </si>
  <si>
    <t xml:space="preserve">cagegfp-7</t>
  </si>
  <si>
    <t xml:space="preserve">cagegfp-8</t>
  </si>
  <si>
    <t xml:space="preserve">cagegfp-9</t>
  </si>
  <si>
    <t xml:space="preserve">cagegfp-10</t>
  </si>
  <si>
    <t xml:space="preserve">cagegfp-11</t>
  </si>
  <si>
    <t xml:space="preserve">CAG-EGFP 1</t>
  </si>
  <si>
    <t xml:space="preserve">CAG-EGFP 5</t>
  </si>
  <si>
    <t xml:space="preserve">cagegfp-12</t>
  </si>
  <si>
    <t xml:space="preserve">cagegfp-13</t>
  </si>
  <si>
    <t xml:space="preserve">cagegfp-14</t>
  </si>
  <si>
    <t xml:space="preserve">cagegfp-15</t>
  </si>
  <si>
    <t xml:space="preserve">cagegfp-16</t>
  </si>
  <si>
    <t xml:space="preserve">CAG-EGFP 2</t>
  </si>
  <si>
    <t xml:space="preserve">CAG-EGFP 4</t>
  </si>
  <si>
    <t xml:space="preserve">cagegfp-17</t>
  </si>
  <si>
    <t xml:space="preserve">cagegfp-18</t>
  </si>
  <si>
    <t xml:space="preserve">cagegfp-19</t>
  </si>
  <si>
    <t xml:space="preserve">cagegfp-20</t>
  </si>
  <si>
    <t xml:space="preserve">cagegfp-21</t>
  </si>
  <si>
    <t xml:space="preserve">cagegfp-22</t>
  </si>
  <si>
    <t xml:space="preserve">cagegfp-23</t>
  </si>
  <si>
    <t xml:space="preserve">cagegfp-24</t>
  </si>
  <si>
    <t xml:space="preserve">cagegfp-25</t>
  </si>
  <si>
    <t xml:space="preserve">cagegfp-26</t>
  </si>
  <si>
    <t xml:space="preserve">cagegfp-27</t>
  </si>
  <si>
    <t xml:space="preserve">cagegfp-28</t>
  </si>
  <si>
    <t xml:space="preserve">cagegfp-29</t>
  </si>
  <si>
    <t xml:space="preserve">CAG-EGFP 22</t>
  </si>
  <si>
    <t xml:space="preserve">CAG-EGFP 20</t>
  </si>
  <si>
    <r>
      <rPr>
        <sz val="11"/>
        <rFont val="Noto Sans CJK SC"/>
        <family val="2"/>
      </rPr>
      <t xml:space="preserve">交配</t>
    </r>
    <r>
      <rPr>
        <sz val="11"/>
        <rFont val="Arial"/>
        <family val="0"/>
        <charset val="1"/>
      </rPr>
      <t xml:space="preserve">x tag:Punch</t>
    </r>
  </si>
  <si>
    <t xml:space="preserve">cagegfp-30</t>
  </si>
  <si>
    <t xml:space="preserve">cagegfp-31</t>
  </si>
  <si>
    <t xml:space="preserve">cagegfp-32</t>
  </si>
  <si>
    <t xml:space="preserve">cagegfp-33</t>
  </si>
  <si>
    <t xml:space="preserve">cagegfp-34</t>
  </si>
  <si>
    <t xml:space="preserve">CAG-EGFP 12</t>
  </si>
  <si>
    <t xml:space="preserve">CAG-EGFP 13</t>
  </si>
  <si>
    <t xml:space="preserve">cagegfp-35</t>
  </si>
  <si>
    <t xml:space="preserve">cagegfp-36</t>
  </si>
  <si>
    <t xml:space="preserve">cagegfp-37</t>
  </si>
  <si>
    <t xml:space="preserve">cagegfp-38</t>
  </si>
  <si>
    <t xml:space="preserve">cagegfp-39</t>
  </si>
  <si>
    <t xml:space="preserve">cagegfp-40</t>
  </si>
  <si>
    <t xml:space="preserve">cagegfp-41</t>
  </si>
  <si>
    <t xml:space="preserve">cagegfp-42</t>
  </si>
  <si>
    <t xml:space="preserve">cagegfp-43</t>
  </si>
  <si>
    <t xml:space="preserve">cagegfp-44</t>
  </si>
  <si>
    <t xml:space="preserve">cagegfp-45</t>
  </si>
  <si>
    <t xml:space="preserve">cagegfp-46</t>
  </si>
  <si>
    <t xml:space="preserve">cagegfp-47</t>
  </si>
  <si>
    <t xml:space="preserve">cagegfp-48</t>
  </si>
  <si>
    <t xml:space="preserve">cagegfp-49</t>
  </si>
  <si>
    <t xml:space="preserve">cagegfp-50</t>
  </si>
  <si>
    <t xml:space="preserve">cagegfp-51</t>
  </si>
  <si>
    <t xml:space="preserve">cagegfp-52</t>
  </si>
  <si>
    <t xml:space="preserve">cagegfp-53</t>
  </si>
  <si>
    <t xml:space="preserve">cagegfp-54</t>
  </si>
  <si>
    <t xml:space="preserve">cagegfp-55</t>
  </si>
  <si>
    <t xml:space="preserve">cagegfp-56</t>
  </si>
  <si>
    <t xml:space="preserve">cagegfp-57</t>
  </si>
  <si>
    <t xml:space="preserve">cagegfp-58</t>
  </si>
  <si>
    <t xml:space="preserve">cagegfp-59</t>
  </si>
  <si>
    <t xml:space="preserve">cagegfp-60</t>
  </si>
  <si>
    <t xml:space="preserve">cagegfp-61</t>
  </si>
  <si>
    <t xml:space="preserve">cagegfp-62</t>
  </si>
  <si>
    <t xml:space="preserve">CAG-EGFP 17</t>
  </si>
  <si>
    <t xml:space="preserve">cagegfp-63</t>
  </si>
  <si>
    <t xml:space="preserve">cagegfp-64</t>
  </si>
  <si>
    <t xml:space="preserve">cagegfp-65</t>
  </si>
  <si>
    <t xml:space="preserve">cagegfp-66</t>
  </si>
  <si>
    <t xml:space="preserve">cagegfp-67</t>
  </si>
  <si>
    <t xml:space="preserve">cagegfp-68</t>
  </si>
  <si>
    <t xml:space="preserve">cagegfp-69</t>
  </si>
  <si>
    <t xml:space="preserve">CAG-EGFP 16</t>
  </si>
  <si>
    <t xml:space="preserve">cagegfp-70</t>
  </si>
  <si>
    <t xml:space="preserve">cagegfp-71</t>
  </si>
  <si>
    <t xml:space="preserve">cagegfp-72</t>
  </si>
  <si>
    <t xml:space="preserve">cagegfp-73</t>
  </si>
  <si>
    <r>
      <rPr>
        <sz val="11"/>
        <rFont val="Noto Sans CJK SC"/>
        <family val="2"/>
      </rPr>
      <t xml:space="preserve">パンチが</t>
    </r>
    <r>
      <rPr>
        <sz val="11"/>
        <rFont val="Arial"/>
        <family val="0"/>
        <charset val="1"/>
      </rPr>
      <t xml:space="preserve">76</t>
    </r>
    <r>
      <rPr>
        <sz val="11"/>
        <rFont val="Noto Sans CJK SC"/>
        <family val="2"/>
      </rPr>
      <t xml:space="preserve">みたいになっている </t>
    </r>
    <r>
      <rPr>
        <sz val="11"/>
        <rFont val="Arial"/>
        <family val="0"/>
        <charset val="1"/>
      </rPr>
      <t xml:space="preserve">tag:Punch</t>
    </r>
  </si>
  <si>
    <t xml:space="preserve">cagegfp-74</t>
  </si>
  <si>
    <t xml:space="preserve">cagegfp-75</t>
  </si>
  <si>
    <t xml:space="preserve">cagegfp-76</t>
  </si>
  <si>
    <t xml:space="preserve">cagegfp-77</t>
  </si>
  <si>
    <t xml:space="preserve">cagegfp-78</t>
  </si>
  <si>
    <t xml:space="preserve">cagegfp-79</t>
  </si>
  <si>
    <t xml:space="preserve">cagegfp-80</t>
  </si>
  <si>
    <t xml:space="preserve">cagegfp-81</t>
  </si>
  <si>
    <t xml:space="preserve">cagegfp-82</t>
  </si>
  <si>
    <t xml:space="preserve">cagegfp-83</t>
  </si>
  <si>
    <t xml:space="preserve">cagegfp-84</t>
  </si>
  <si>
    <t xml:space="preserve">cagegfp-85</t>
  </si>
  <si>
    <t xml:space="preserve">cagegfp-86</t>
  </si>
  <si>
    <t xml:space="preserve">cagegfp-87</t>
  </si>
  <si>
    <t xml:space="preserve">cagegfp-88</t>
  </si>
  <si>
    <t xml:space="preserve">cagegfp-89</t>
  </si>
  <si>
    <t xml:space="preserve">cagegfp-90</t>
  </si>
  <si>
    <t xml:space="preserve">cagegfp-91</t>
  </si>
  <si>
    <t xml:space="preserve">cagegfp-92</t>
  </si>
  <si>
    <t xml:space="preserve">cagegfp-93</t>
  </si>
  <si>
    <t xml:space="preserve">cagegfp-94</t>
  </si>
  <si>
    <t xml:space="preserve">cagegfp-95</t>
  </si>
  <si>
    <t xml:space="preserve">cagegfp-96</t>
  </si>
  <si>
    <t xml:space="preserve">cagegfp-97</t>
  </si>
  <si>
    <t xml:space="preserve">cagegfp-98</t>
  </si>
  <si>
    <t xml:space="preserve">cagegfp-99</t>
  </si>
  <si>
    <t xml:space="preserve">cagegfp-100</t>
  </si>
  <si>
    <t xml:space="preserve">cagegfp-101</t>
  </si>
  <si>
    <t xml:space="preserve">cagegfp-102</t>
  </si>
  <si>
    <t xml:space="preserve">cagegfp-103</t>
  </si>
  <si>
    <t xml:space="preserve">cagegfp-104</t>
  </si>
  <si>
    <t xml:space="preserve">cagegfp_aqp4ko-1</t>
  </si>
  <si>
    <t xml:space="preserve">CAG-EGFP46</t>
  </si>
  <si>
    <t xml:space="preserve">5xFAD-AQP4KO25</t>
  </si>
  <si>
    <t xml:space="preserve">tag:punch</t>
  </si>
  <si>
    <t xml:space="preserve">cagegfp_aqp4ko-2</t>
  </si>
  <si>
    <t xml:space="preserve">cagegfp_aqp4ko-3</t>
  </si>
  <si>
    <t xml:space="preserve">cagegfp_aqp4ko-4</t>
  </si>
  <si>
    <t xml:space="preserve">cagegfp_aqp4ko-5</t>
  </si>
  <si>
    <t xml:space="preserve">cagegfp_aqp4ko-6</t>
  </si>
  <si>
    <t xml:space="preserve">cagegfp_aqp4ko-7</t>
  </si>
  <si>
    <t xml:space="preserve">cagegfp_aqp4ko-8</t>
  </si>
  <si>
    <t xml:space="preserve">cagegfp_aqp4ko-9</t>
  </si>
  <si>
    <t xml:space="preserve">5xFAD-AQP4KO42</t>
  </si>
  <si>
    <t xml:space="preserve">CAG-EGFP66</t>
  </si>
  <si>
    <t xml:space="preserve">cagegfp_aqp4ko-10</t>
  </si>
  <si>
    <t xml:space="preserve">cagegfp_aqp4ko-11</t>
  </si>
  <si>
    <t xml:space="preserve">cagegfp_aqp4ko-12</t>
  </si>
  <si>
    <t xml:space="preserve">cagegfp_aqp4ko-13</t>
  </si>
  <si>
    <t xml:space="preserve">cagegfp_aqp4ko-14</t>
  </si>
  <si>
    <t xml:space="preserve">cagegfp_aqp4ko-15</t>
  </si>
  <si>
    <t xml:space="preserve">cagegfp_aqp4ko-16</t>
  </si>
  <si>
    <t xml:space="preserve">cagegfp_aqp4ko-17</t>
  </si>
  <si>
    <t xml:space="preserve">CAG-EGFP72</t>
  </si>
  <si>
    <t xml:space="preserve">cagegfp_aqp4ko-18</t>
  </si>
  <si>
    <t xml:space="preserve">cagegfp_aqp4ko-19</t>
  </si>
  <si>
    <t xml:space="preserve">cagegfp_aqp4ko-20</t>
  </si>
  <si>
    <t xml:space="preserve">cagegfp_aqp4ko-21</t>
  </si>
  <si>
    <t xml:space="preserve">cagegfp_aqp4ko-22</t>
  </si>
  <si>
    <t xml:space="preserve">CAG-EGFP-AQP4KO 4</t>
  </si>
  <si>
    <t xml:space="preserve">CAG-EGFP-AQP4KO 2</t>
  </si>
  <si>
    <t xml:space="preserve">CAGEGFP tag:punch</t>
  </si>
  <si>
    <t xml:space="preserve">cagegfp_aqp4ko-23</t>
  </si>
  <si>
    <t xml:space="preserve">cagegfp_aqp4ko-24</t>
  </si>
  <si>
    <t xml:space="preserve">cagegfp_aqp4ko-25</t>
  </si>
  <si>
    <t xml:space="preserve">cagegfp_aqp4ko-26</t>
  </si>
  <si>
    <t xml:space="preserve">cagegfp_aqp4ko-27</t>
  </si>
  <si>
    <t xml:space="preserve">cagegfp_aqp4ko-28</t>
  </si>
  <si>
    <t xml:space="preserve">cagegfp_aqp4ko-29</t>
  </si>
  <si>
    <t xml:space="preserve">cagegfp_aqp4ko-30</t>
  </si>
  <si>
    <t xml:space="preserve">cagegfp_aqp4ko-31</t>
  </si>
  <si>
    <t xml:space="preserve">CAGEGFP-AQP4KO tag:punch</t>
  </si>
  <si>
    <t xml:space="preserve">cagegfp_aqp4ko-32</t>
  </si>
  <si>
    <t xml:space="preserve">cagegfp_aqp4ko-33</t>
  </si>
  <si>
    <t xml:space="preserve">CAG-EGFP-AQP4KO 3</t>
  </si>
  <si>
    <t xml:space="preserve">cagegfp_aqp4ko-34</t>
  </si>
  <si>
    <t xml:space="preserve">cagegfp_aqp4ko-35</t>
  </si>
  <si>
    <t xml:space="preserve">cagegfp_aqp4ko-36</t>
  </si>
  <si>
    <t xml:space="preserve">cagegfp_aqp4ko-37</t>
  </si>
  <si>
    <t xml:space="preserve">cagegfp_aqp4ko-38</t>
  </si>
  <si>
    <t xml:space="preserve">cagegfp_aqp4ko-39</t>
  </si>
  <si>
    <t xml:space="preserve">cagegfp_aqp4ko-40</t>
  </si>
  <si>
    <t xml:space="preserve">cagegfp_aqp4ko-41</t>
  </si>
  <si>
    <t xml:space="preserve">CAG-EGFP-AQP4KO 5</t>
  </si>
  <si>
    <t xml:space="preserve">CAG-EGFP-AQP4KO 8</t>
  </si>
  <si>
    <t xml:space="preserve">cagegfp_aqp4ko-42</t>
  </si>
  <si>
    <t xml:space="preserve">cagegfp_aqp4ko-43</t>
  </si>
  <si>
    <t xml:space="preserve">cagegfp_aqp4ko-44</t>
  </si>
  <si>
    <t xml:space="preserve">CAG-EGFP-AQP4KO 14</t>
  </si>
  <si>
    <t xml:space="preserve">cagegfp_aqp4ko-45</t>
  </si>
  <si>
    <t xml:space="preserve">cagegfp_aqp4ko-46</t>
  </si>
  <si>
    <t xml:space="preserve">cagegfp_aqp4ko-47</t>
  </si>
  <si>
    <t xml:space="preserve">cagegfp_aqp4ko-48</t>
  </si>
  <si>
    <t xml:space="preserve">cagegfp_aqp4ko-49</t>
  </si>
  <si>
    <t xml:space="preserve">cagegfp_aqp4ko-50</t>
  </si>
  <si>
    <t xml:space="preserve">cagegfp_aqp4ko-51</t>
  </si>
  <si>
    <t xml:space="preserve">cagegfp_aqp4ko-52</t>
  </si>
  <si>
    <t xml:space="preserve">CAG-EGFP-AQP4KO 15</t>
  </si>
  <si>
    <t xml:space="preserve">cagegfp_aqp4ko-53</t>
  </si>
  <si>
    <t xml:space="preserve">cagegfp_aqp4ko-54</t>
  </si>
  <si>
    <t xml:space="preserve">cagegfp_aqp4ko-55</t>
  </si>
  <si>
    <t xml:space="preserve">cagegfp_aqp4ko-56</t>
  </si>
  <si>
    <t xml:space="preserve">cagegfp_aqp4ko-57</t>
  </si>
  <si>
    <t xml:space="preserve">cagegfp_aqp4ko-58</t>
  </si>
  <si>
    <t xml:space="preserve">cagegfp_aqp4ko-59</t>
  </si>
  <si>
    <t xml:space="preserve">CAG-EGFP-AQP4KO 13</t>
  </si>
  <si>
    <t xml:space="preserve">cagegfp_aqp4ko-60</t>
  </si>
  <si>
    <t xml:space="preserve">cagegfp_aqp4ko-61</t>
  </si>
  <si>
    <t xml:space="preserve">cagegfp_aqp4ko-62</t>
  </si>
  <si>
    <t xml:space="preserve">cagegfp_aqp4ko-63</t>
  </si>
  <si>
    <t xml:space="preserve">cagegfp_aqp4ko-64</t>
  </si>
  <si>
    <t xml:space="preserve">cagegfp_aqp4ko-65</t>
  </si>
  <si>
    <t xml:space="preserve">cagegfp_aqp4ko-66</t>
  </si>
  <si>
    <t xml:space="preserve">cagegfp_aqp4ko-67</t>
  </si>
  <si>
    <t xml:space="preserve">CAG-EGFP-AQP4KO 37</t>
  </si>
  <si>
    <t xml:space="preserve">CAG-EGFP-AQP4KO 31</t>
  </si>
  <si>
    <t xml:space="preserve">cagegfp_aqp4ko-68</t>
  </si>
  <si>
    <t xml:space="preserve">cagegfp_aqp4ko-69</t>
  </si>
  <si>
    <t xml:space="preserve">cagegfp_aqp4ko-70</t>
  </si>
  <si>
    <t xml:space="preserve">cagegfp_aqp4ko-71</t>
  </si>
  <si>
    <t xml:space="preserve">cagegfp_aqp4ko-72</t>
  </si>
  <si>
    <t xml:space="preserve">cagegfp_aqp4ko-73</t>
  </si>
  <si>
    <t xml:space="preserve">cagegfp_aqp4ko-74</t>
  </si>
  <si>
    <t xml:space="preserve">cagegfp_aqp4ko-75</t>
  </si>
  <si>
    <t xml:space="preserve">CAG-EGFP-AQP4KO 16</t>
  </si>
  <si>
    <t xml:space="preserve">cagegfp_aqp4ko-76</t>
  </si>
  <si>
    <t xml:space="preserve">cagegfp_aqp4ko-77</t>
  </si>
  <si>
    <t xml:space="preserve">cagegfp_aqp4ko-78</t>
  </si>
  <si>
    <t xml:space="preserve">cagegfp_aqp4ko-79</t>
  </si>
  <si>
    <t xml:space="preserve">cagegfp_aqp4ko-80</t>
  </si>
  <si>
    <t xml:space="preserve">cagegfp_aqp4ko-81</t>
  </si>
  <si>
    <t xml:space="preserve">cagegfp_aqp4ko-82</t>
  </si>
  <si>
    <t xml:space="preserve">cagegfp_aqp4ko-83</t>
  </si>
  <si>
    <t xml:space="preserve">cagegfp_aqp4ko-84</t>
  </si>
  <si>
    <t xml:space="preserve">cagegfp_aqp4ko-85</t>
  </si>
  <si>
    <t xml:space="preserve">cagegfp_aqp4ko-86</t>
  </si>
  <si>
    <t xml:space="preserve">cagegfp_aqp4ko-87</t>
  </si>
  <si>
    <t xml:space="preserve">cagegfp_aqp4ko-88</t>
  </si>
  <si>
    <t xml:space="preserve">CAG-EGFP-AQP4KO 63</t>
  </si>
  <si>
    <t xml:space="preserve">CAG-EGFP-AQP4KO 51</t>
  </si>
  <si>
    <t xml:space="preserve">cagegfp_aqp4ko-89</t>
  </si>
  <si>
    <t xml:space="preserve">cagegfp_aqp4ko-90</t>
  </si>
  <si>
    <t xml:space="preserve">cagegfp_aqp4ko-91</t>
  </si>
  <si>
    <t xml:space="preserve">cagegfp_aqp4ko-92</t>
  </si>
  <si>
    <t xml:space="preserve">CAG-EGFP-AQP4KO 84</t>
  </si>
  <si>
    <t xml:space="preserve">cagegfp_aqp4ko-93</t>
  </si>
  <si>
    <t xml:space="preserve">cagegfp_aqp4ko-94</t>
  </si>
  <si>
    <t xml:space="preserve">cagegfp_aqp4ko-95</t>
  </si>
  <si>
    <t xml:space="preserve">CAG-EGFP-AQP4KO 85</t>
  </si>
  <si>
    <t xml:space="preserve">cagegfp_aqp4ko-96</t>
  </si>
  <si>
    <t xml:space="preserve">cagegfp_aqp4ko-97</t>
  </si>
  <si>
    <t xml:space="preserve">cagegfp_aqp4ko-98</t>
  </si>
  <si>
    <t xml:space="preserve">cagegfp_aqp4ko-99</t>
  </si>
  <si>
    <t xml:space="preserve">cagegfp_aqp4ko-100</t>
  </si>
  <si>
    <t xml:space="preserve">CAG-EGFP145</t>
  </si>
  <si>
    <t xml:space="preserve">AQP4KO78</t>
  </si>
  <si>
    <t xml:space="preserve">cagegfp_aqp4ko-101</t>
  </si>
  <si>
    <t xml:space="preserve">cagegfp_aqp4ko-102</t>
  </si>
  <si>
    <t xml:space="preserve">cagegfp_aqp4ko-103</t>
  </si>
  <si>
    <t xml:space="preserve">cagegfp_aqp4ko-104</t>
  </si>
  <si>
    <t xml:space="preserve">cagegfp_aqp4ko-105</t>
  </si>
  <si>
    <t xml:space="preserve">cagegfp_aqp4ko-106</t>
  </si>
  <si>
    <t xml:space="preserve">cagegfp_aqp4ko-107</t>
  </si>
  <si>
    <t xml:space="preserve">cagegfp_aqp4ko-108</t>
  </si>
  <si>
    <t xml:space="preserve">cagegfp_aqp4ko-109</t>
  </si>
  <si>
    <t xml:space="preserve">cagegfp_aqp4ko-110</t>
  </si>
  <si>
    <t xml:space="preserve">cagegfp_aqp4ko-111</t>
  </si>
  <si>
    <t xml:space="preserve">cagegfp_aqp4ko-112</t>
  </si>
  <si>
    <t xml:space="preserve">cagegfp_aqp4ko-113</t>
  </si>
  <si>
    <t xml:space="preserve">cagegfp_aqp4ko-114</t>
  </si>
  <si>
    <t xml:space="preserve">cagegfp_aqp4ko-115</t>
  </si>
  <si>
    <t xml:space="preserve">cagegfp_aqp4ko-116</t>
  </si>
  <si>
    <t xml:space="preserve">cagegfp_aqp4ko-117</t>
  </si>
  <si>
    <t xml:space="preserve">cagegfp_aqp4ko-118</t>
  </si>
  <si>
    <t xml:space="preserve">cagegfp_aqp4ko-119</t>
  </si>
  <si>
    <t xml:space="preserve">cagegfp_aqp4ko-120</t>
  </si>
  <si>
    <t xml:space="preserve">cagegfp_aqp4ko-121</t>
  </si>
  <si>
    <t xml:space="preserve">wt-118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</si>
  <si>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2025/4/22</t>
    </r>
    <r>
      <rPr>
        <sz val="11"/>
        <rFont val="Noto Sans CJK SC"/>
        <family val="2"/>
      </rPr>
      <t xml:space="preserve">搬入</t>
    </r>
  </si>
  <si>
    <t xml:space="preserve">wt-119</t>
  </si>
  <si>
    <t xml:space="preserve">wt-120</t>
  </si>
  <si>
    <t xml:space="preserve">wt-121</t>
  </si>
  <si>
    <t xml:space="preserve">wt-122</t>
  </si>
  <si>
    <t xml:space="preserve">wt-123</t>
  </si>
  <si>
    <t xml:space="preserve">wt-124</t>
  </si>
  <si>
    <t xml:space="preserve">wt-125</t>
  </si>
  <si>
    <t xml:space="preserve">wt-126</t>
  </si>
  <si>
    <t xml:space="preserve">wt-127</t>
  </si>
  <si>
    <t xml:space="preserve">wt-128</t>
  </si>
  <si>
    <t xml:space="preserve">wt-129</t>
  </si>
  <si>
    <t xml:space="preserve">wt-130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</si>
  <si>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2025/9/9</t>
    </r>
    <r>
      <rPr>
        <sz val="11"/>
        <rFont val="Noto Sans CJK SC"/>
        <family val="2"/>
      </rPr>
      <t xml:space="preserve">搬入</t>
    </r>
  </si>
  <si>
    <t xml:space="preserve">wt-131</t>
  </si>
  <si>
    <t xml:space="preserve">wt-132</t>
  </si>
  <si>
    <t xml:space="preserve">wt-133</t>
  </si>
  <si>
    <t xml:space="preserve">wt-134</t>
  </si>
  <si>
    <t xml:space="preserve">wt-135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</si>
  <si>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2025/10/21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</si>
  <si>
    <t xml:space="preserve">wt-136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</si>
  <si>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2025/10/21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</si>
  <si>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wt-137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</si>
  <si>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2025/10/21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tag:</t>
    </r>
    <r>
      <rPr>
        <sz val="11"/>
        <rFont val="Noto Sans CJK SC"/>
        <family val="2"/>
      </rPr>
      <t xml:space="preserve">左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右</t>
    </r>
    <r>
      <rPr>
        <sz val="11"/>
        <rFont val="Arial"/>
        <family val="0"/>
        <charset val="1"/>
      </rPr>
      <t xml:space="preserve">1</t>
    </r>
  </si>
  <si>
    <t xml:space="preserve">wt-138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</si>
  <si>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2025/10/21</t>
    </r>
    <r>
      <rPr>
        <sz val="11"/>
        <rFont val="Noto Sans CJK SC"/>
        <family val="2"/>
      </rPr>
      <t xml:space="preserve">搬入</t>
    </r>
  </si>
  <si>
    <t xml:space="preserve">wt-139</t>
  </si>
  <si>
    <t xml:space="preserve">wt-140</t>
  </si>
  <si>
    <t xml:space="preserve">wt-141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</si>
  <si>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2025/11/6</t>
    </r>
    <r>
      <rPr>
        <sz val="11"/>
        <rFont val="Noto Sans CJK SC"/>
        <family val="2"/>
      </rPr>
      <t xml:space="preserve">搬入</t>
    </r>
  </si>
  <si>
    <t xml:space="preserve">wt-142</t>
  </si>
  <si>
    <t xml:space="preserve">wt-143</t>
  </si>
  <si>
    <t xml:space="preserve">wt-144</t>
  </si>
  <si>
    <t xml:space="preserve">wt-145</t>
  </si>
  <si>
    <t xml:space="preserve">wt-146</t>
  </si>
  <si>
    <t xml:space="preserve">wt-147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</si>
  <si>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2026/1/27</t>
    </r>
    <r>
      <rPr>
        <sz val="11"/>
        <rFont val="Noto Sans CJK SC"/>
        <family val="2"/>
      </rPr>
      <t xml:space="preserve">搬入</t>
    </r>
  </si>
  <si>
    <t xml:space="preserve">wt-148</t>
  </si>
  <si>
    <t xml:space="preserve">wt-149</t>
  </si>
  <si>
    <t xml:space="preserve">wt-150</t>
  </si>
  <si>
    <t xml:space="preserve">wt-151</t>
  </si>
  <si>
    <t xml:space="preserve">wt-152</t>
  </si>
  <si>
    <t xml:space="preserve">wt-153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</si>
  <si>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2026/2/12</t>
    </r>
    <r>
      <rPr>
        <sz val="11"/>
        <rFont val="Noto Sans CJK SC"/>
        <family val="2"/>
      </rPr>
      <t xml:space="preserve">搬入</t>
    </r>
  </si>
  <si>
    <t xml:space="preserve">wt-154</t>
  </si>
  <si>
    <t xml:space="preserve">wt-155</t>
  </si>
  <si>
    <t xml:space="preserve">wt-156</t>
  </si>
  <si>
    <t xml:space="preserve">wt-157</t>
  </si>
  <si>
    <t xml:space="preserve">wt-158</t>
  </si>
  <si>
    <t xml:space="preserve">wt-159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</si>
  <si>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2026/3/24</t>
    </r>
    <r>
      <rPr>
        <sz val="11"/>
        <rFont val="Noto Sans CJK SC"/>
        <family val="2"/>
      </rPr>
      <t xml:space="preserve">搬入</t>
    </r>
  </si>
  <si>
    <t xml:space="preserve">wt-160</t>
  </si>
  <si>
    <t xml:space="preserve">wt-161</t>
  </si>
  <si>
    <t xml:space="preserve">wt-162</t>
  </si>
  <si>
    <t xml:space="preserve">wt-163</t>
  </si>
  <si>
    <t xml:space="preserve">wt-164</t>
  </si>
  <si>
    <t xml:space="preserve">wt-165</t>
  </si>
  <si>
    <t xml:space="preserve">wt-166</t>
  </si>
  <si>
    <t xml:space="preserve">wt-167</t>
  </si>
  <si>
    <t xml:space="preserve">wt-168</t>
  </si>
  <si>
    <t xml:space="preserve">wt-169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</si>
  <si>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2026/3/24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実験中</t>
    </r>
  </si>
  <si>
    <t xml:space="preserve">wt-170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</si>
  <si>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2026/4/14</t>
    </r>
    <r>
      <rPr>
        <sz val="11"/>
        <rFont val="Noto Sans CJK SC"/>
        <family val="2"/>
      </rPr>
      <t xml:space="preserve">搬入</t>
    </r>
  </si>
  <si>
    <t xml:space="preserve">wt-171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</si>
  <si>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2026/4/14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実験中</t>
    </r>
  </si>
  <si>
    <t xml:space="preserve">wt-172</t>
  </si>
  <si>
    <t xml:space="preserve">wt-173</t>
  </si>
  <si>
    <t xml:space="preserve">wt-174</t>
  </si>
  <si>
    <t xml:space="preserve">wt-175</t>
  </si>
  <si>
    <t xml:space="preserve">wt-176</t>
  </si>
  <si>
    <t xml:space="preserve">wt-177</t>
  </si>
  <si>
    <t xml:space="preserve">wt-178</t>
  </si>
  <si>
    <t xml:space="preserve">wt-179</t>
  </si>
  <si>
    <t xml:space="preserve">wt-180</t>
  </si>
  <si>
    <t xml:space="preserve">wt-181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</si>
  <si>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2026/5/7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育児中</t>
    </r>
  </si>
  <si>
    <t xml:space="preserve">wt-182</t>
  </si>
  <si>
    <t xml:space="preserve">wt-183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</si>
  <si>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2026/5/7</t>
    </r>
    <r>
      <rPr>
        <sz val="11"/>
        <rFont val="Noto Sans CJK SC"/>
        <family val="2"/>
      </rPr>
      <t xml:space="preserve">搬入</t>
    </r>
  </si>
  <si>
    <t xml:space="preserve">wt-184</t>
  </si>
  <si>
    <t xml:space="preserve">wt-185</t>
  </si>
  <si>
    <t xml:space="preserve">wt-186</t>
  </si>
  <si>
    <t xml:space="preserve">wt-187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</si>
  <si>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2026/6/9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orig:</t>
    </r>
    <r>
      <rPr>
        <sz val="11"/>
        <rFont val="Noto Sans CJK SC"/>
        <family val="2"/>
      </rPr>
      <t xml:space="preserve">実験中</t>
    </r>
  </si>
  <si>
    <t xml:space="preserve">wt-188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</si>
  <si>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2026/6/9</t>
    </r>
    <r>
      <rPr>
        <sz val="11"/>
        <rFont val="Noto Sans CJK SC"/>
        <family val="2"/>
      </rPr>
      <t xml:space="preserve">搬入</t>
    </r>
  </si>
  <si>
    <t xml:space="preserve">wt-189</t>
  </si>
  <si>
    <t xml:space="preserve">wt-190</t>
  </si>
  <si>
    <t xml:space="preserve">wt-191</t>
  </si>
  <si>
    <t xml:space="preserve">wt-192</t>
  </si>
  <si>
    <t xml:space="preserve">wt-1</t>
  </si>
  <si>
    <t xml:space="preserve">wt-2</t>
  </si>
  <si>
    <t xml:space="preserve">wt-3</t>
  </si>
  <si>
    <r>
      <rPr>
        <sz val="11"/>
        <rFont val="Arial"/>
        <family val="0"/>
        <charset val="1"/>
      </rPr>
      <t xml:space="preserve">Suntory</t>
    </r>
    <r>
      <rPr>
        <sz val="11"/>
        <rFont val="Noto Sans CJK SC"/>
        <family val="2"/>
      </rPr>
      <t xml:space="preserve">（本実験）</t>
    </r>
  </si>
  <si>
    <t xml:space="preserve">wt-4</t>
  </si>
  <si>
    <t xml:space="preserve">wt-5</t>
  </si>
  <si>
    <t xml:space="preserve">wt-6</t>
  </si>
  <si>
    <t xml:space="preserve">wt-7</t>
  </si>
  <si>
    <t xml:space="preserve">wt-8</t>
  </si>
  <si>
    <t xml:space="preserve">c-fos</t>
  </si>
  <si>
    <t xml:space="preserve">wt-9</t>
  </si>
  <si>
    <t xml:space="preserve">wt-10</t>
  </si>
  <si>
    <t xml:space="preserve">wt-11</t>
  </si>
  <si>
    <t xml:space="preserve">wt-12</t>
  </si>
  <si>
    <t xml:space="preserve">wt-13</t>
  </si>
  <si>
    <t xml:space="preserve">wt-14</t>
  </si>
  <si>
    <t xml:space="preserve">wt-15</t>
  </si>
  <si>
    <t xml:space="preserve">wt-16</t>
  </si>
  <si>
    <t xml:space="preserve">wt-17</t>
  </si>
  <si>
    <t xml:space="preserve">wt-18</t>
  </si>
  <si>
    <t xml:space="preserve">wt-19</t>
  </si>
  <si>
    <t xml:space="preserve">wt-20</t>
  </si>
  <si>
    <t xml:space="preserve">wt-21</t>
  </si>
  <si>
    <t xml:space="preserve">wt-22</t>
  </si>
  <si>
    <t xml:space="preserve">wt-23</t>
  </si>
  <si>
    <t xml:space="preserve">wt-24</t>
  </si>
  <si>
    <t xml:space="preserve">wt-25</t>
  </si>
  <si>
    <t xml:space="preserve">wt-26</t>
  </si>
  <si>
    <t xml:space="preserve">wt-27</t>
  </si>
  <si>
    <t xml:space="preserve">wt-28</t>
  </si>
  <si>
    <t xml:space="preserve">wt-29</t>
  </si>
  <si>
    <t xml:space="preserve">wt-30</t>
  </si>
  <si>
    <t xml:space="preserve">wt-31</t>
  </si>
  <si>
    <t xml:space="preserve">wt-32</t>
  </si>
  <si>
    <t xml:space="preserve">wt-33</t>
  </si>
  <si>
    <t xml:space="preserve">Water intoxication</t>
  </si>
  <si>
    <t xml:space="preserve">wt-34</t>
  </si>
  <si>
    <t xml:space="preserve">wt-35</t>
  </si>
  <si>
    <t xml:space="preserve">wt-36</t>
  </si>
  <si>
    <t xml:space="preserve">wt-37</t>
  </si>
  <si>
    <t xml:space="preserve">wt-38</t>
  </si>
  <si>
    <t xml:space="preserve">wt-39</t>
  </si>
  <si>
    <t xml:space="preserve">wt-40</t>
  </si>
  <si>
    <t xml:space="preserve">wt-41</t>
  </si>
  <si>
    <t xml:space="preserve">wt-42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</si>
  <si>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2024/7/25</t>
    </r>
    <r>
      <rPr>
        <sz val="11"/>
        <rFont val="Noto Sans CJK SC"/>
        <family val="2"/>
      </rPr>
      <t xml:space="preserve">搬入</t>
    </r>
  </si>
  <si>
    <t xml:space="preserve">wt-43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</si>
  <si>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2024/7/25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water intox.</t>
    </r>
  </si>
  <si>
    <t xml:space="preserve">wt-44</t>
  </si>
  <si>
    <t xml:space="preserve">wt-45</t>
  </si>
  <si>
    <t xml:space="preserve">wt-46</t>
  </si>
  <si>
    <t xml:space="preserve">wt-47</t>
  </si>
  <si>
    <t xml:space="preserve">wt-48</t>
  </si>
  <si>
    <t xml:space="preserve">wt-49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</si>
  <si>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2024/7/25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Hirooka</t>
    </r>
  </si>
  <si>
    <t xml:space="preserve">wt-50</t>
  </si>
  <si>
    <t xml:space="preserve">wt-51</t>
  </si>
  <si>
    <t xml:space="preserve">wt-52</t>
  </si>
  <si>
    <t xml:space="preserve">wt-53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</si>
  <si>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2024/8/6</t>
    </r>
    <r>
      <rPr>
        <sz val="11"/>
        <rFont val="Noto Sans CJK SC"/>
        <family val="2"/>
      </rPr>
      <t xml:space="preserve">搬入 花王</t>
    </r>
    <r>
      <rPr>
        <sz val="11"/>
        <rFont val="Arial"/>
        <family val="0"/>
        <charset val="1"/>
      </rPr>
      <t xml:space="preserve">p</t>
    </r>
  </si>
  <si>
    <t xml:space="preserve">wt-54</t>
  </si>
  <si>
    <t xml:space="preserve">wt-55</t>
  </si>
  <si>
    <t xml:space="preserve">wt-56</t>
  </si>
  <si>
    <t xml:space="preserve">wt-57</t>
  </si>
  <si>
    <t xml:space="preserve">wt-58</t>
  </si>
  <si>
    <t xml:space="preserve">wt-59</t>
  </si>
  <si>
    <t xml:space="preserve">wt-60</t>
  </si>
  <si>
    <t xml:space="preserve">wt-61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</si>
  <si>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2024/10/10</t>
    </r>
    <r>
      <rPr>
        <sz val="11"/>
        <rFont val="Noto Sans CJK SC"/>
        <family val="2"/>
      </rPr>
      <t xml:space="preserve">搬入</t>
    </r>
  </si>
  <si>
    <t xml:space="preserve">wt-62</t>
  </si>
  <si>
    <t xml:space="preserve">wt-63</t>
  </si>
  <si>
    <t xml:space="preserve">wt-64</t>
  </si>
  <si>
    <t xml:space="preserve">wt-65</t>
  </si>
  <si>
    <t xml:space="preserve">wt-66</t>
  </si>
  <si>
    <t xml:space="preserve">wt-67</t>
  </si>
  <si>
    <t xml:space="preserve">wt-68</t>
  </si>
  <si>
    <t xml:space="preserve">wt-69</t>
  </si>
  <si>
    <t xml:space="preserve">wt-70</t>
  </si>
  <si>
    <t xml:space="preserve">wt-71</t>
  </si>
  <si>
    <t xml:space="preserve">wt-72</t>
  </si>
  <si>
    <t xml:space="preserve">wt-73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</si>
  <si>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2024/10/24</t>
    </r>
    <r>
      <rPr>
        <sz val="11"/>
        <rFont val="Noto Sans CJK SC"/>
        <family val="2"/>
      </rPr>
      <t xml:space="preserve">搬入</t>
    </r>
  </si>
  <si>
    <t xml:space="preserve">wt-74</t>
  </si>
  <si>
    <t xml:space="preserve">wt-75</t>
  </si>
  <si>
    <t xml:space="preserve">wt-76</t>
  </si>
  <si>
    <t xml:space="preserve">wt-77</t>
  </si>
  <si>
    <t xml:space="preserve">wt-78</t>
  </si>
  <si>
    <t xml:space="preserve">wt-79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</si>
  <si>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2024/11/6</t>
    </r>
    <r>
      <rPr>
        <sz val="11"/>
        <rFont val="Noto Sans CJK SC"/>
        <family val="2"/>
      </rPr>
      <t xml:space="preserve">搬入</t>
    </r>
  </si>
  <si>
    <t xml:space="preserve">wt-80</t>
  </si>
  <si>
    <t xml:space="preserve">wt-81</t>
  </si>
  <si>
    <t xml:space="preserve">wt-82</t>
  </si>
  <si>
    <t xml:space="preserve">wt-83</t>
  </si>
  <si>
    <t xml:space="preserve">wt-84</t>
  </si>
  <si>
    <t xml:space="preserve">wt-85</t>
  </si>
  <si>
    <t xml:space="preserve">From Nuriya Group</t>
  </si>
  <si>
    <t xml:space="preserve">wt-86</t>
  </si>
  <si>
    <t xml:space="preserve">wt-87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</si>
  <si>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2024/11/21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tag:Punch</t>
    </r>
  </si>
  <si>
    <t xml:space="preserve">wt-88</t>
  </si>
  <si>
    <t xml:space="preserve">wt-89</t>
  </si>
  <si>
    <t xml:space="preserve">wt-90</t>
  </si>
  <si>
    <t xml:space="preserve">wt-91</t>
  </si>
  <si>
    <t xml:space="preserve">wt-92</t>
  </si>
  <si>
    <t xml:space="preserve">wt-93</t>
  </si>
  <si>
    <t xml:space="preserve">wt-94</t>
  </si>
  <si>
    <t xml:space="preserve">wt-95</t>
  </si>
  <si>
    <t xml:space="preserve">wt-96</t>
  </si>
  <si>
    <t xml:space="preserve">wt-97</t>
  </si>
  <si>
    <t xml:space="preserve">wt-98</t>
  </si>
  <si>
    <t xml:space="preserve">wt-99</t>
  </si>
  <si>
    <t xml:space="preserve">wt-100</t>
  </si>
  <si>
    <r>
      <rPr>
        <sz val="11"/>
        <rFont val="Noto Sans CJK SC"/>
        <family val="2"/>
      </rPr>
      <t xml:space="preserve">日本クレアから</t>
    </r>
    <r>
      <rPr>
        <sz val="11"/>
        <rFont val="Arial"/>
        <family val="0"/>
        <charset val="1"/>
      </rPr>
      <t xml:space="preserve">2025/1/9</t>
    </r>
    <r>
      <rPr>
        <sz val="11"/>
        <rFont val="Noto Sans CJK SC"/>
        <family val="2"/>
      </rPr>
      <t xml:space="preserve">搬入 </t>
    </r>
    <r>
      <rPr>
        <sz val="11"/>
        <rFont val="Arial"/>
        <family val="0"/>
        <charset val="1"/>
      </rPr>
      <t xml:space="preserve">tag:Punch</t>
    </r>
  </si>
  <si>
    <t xml:space="preserve">wt-101</t>
  </si>
  <si>
    <t xml:space="preserve">wt-102</t>
  </si>
  <si>
    <t xml:space="preserve">wt-103</t>
  </si>
  <si>
    <t xml:space="preserve">wt-104</t>
  </si>
  <si>
    <t xml:space="preserve">wt-105</t>
  </si>
  <si>
    <t xml:space="preserve">wt-106</t>
  </si>
  <si>
    <t xml:space="preserve">wt-107</t>
  </si>
  <si>
    <t xml:space="preserve">wt-108</t>
  </si>
  <si>
    <t xml:space="preserve">wt-109</t>
  </si>
  <si>
    <t xml:space="preserve">wt-110</t>
  </si>
  <si>
    <t xml:space="preserve">wt-111</t>
  </si>
  <si>
    <t xml:space="preserve">wt-112</t>
  </si>
  <si>
    <t xml:space="preserve">wt-113</t>
  </si>
  <si>
    <t xml:space="preserve">wt-114</t>
  </si>
  <si>
    <t xml:space="preserve">wt-115</t>
  </si>
  <si>
    <t xml:space="preserve">wt-116</t>
  </si>
  <si>
    <t xml:space="preserve">wt-117</t>
  </si>
  <si>
    <t xml:space="preserve">project_id</t>
  </si>
  <si>
    <t xml:space="preserve">title</t>
  </si>
  <si>
    <t xml:space="preserve">bw2025</t>
  </si>
  <si>
    <t xml:space="preserve">brain water dynamics (2025_brain_water_dynamics)</t>
  </si>
  <si>
    <t xml:space="preserve">主</t>
  </si>
  <si>
    <t xml:space="preserve">amy2026</t>
  </si>
  <si>
    <t xml:space="preserve">amyloid x glymphatic (5xFAD)</t>
  </si>
  <si>
    <r>
      <rPr>
        <sz val="11"/>
        <rFont val="Noto Sans CJK SC"/>
        <family val="2"/>
      </rPr>
      <t xml:space="preserve">別</t>
    </r>
    <r>
      <rPr>
        <sz val="11"/>
        <rFont val="Arial"/>
        <family val="0"/>
        <charset val="1"/>
      </rPr>
      <t xml:space="preserve">P</t>
    </r>
  </si>
  <si>
    <t xml:space="preserve">mouse_id</t>
  </si>
  <si>
    <t xml:space="preserve">line</t>
  </si>
  <si>
    <t xml:space="preserve">dob_intake</t>
  </si>
  <si>
    <t xml:space="preserve">sac_date</t>
  </si>
  <si>
    <t xml:space="preserve">pulled_genotype</t>
  </si>
  <si>
    <t xml:space="preserve">ts1</t>
  </si>
  <si>
    <t xml:space="preserve">s1</t>
  </si>
  <si>
    <t xml:space="preserve">ts2</t>
  </si>
  <si>
    <t xml:space="preserve">s2</t>
  </si>
  <si>
    <t xml:space="preserve">ts3</t>
  </si>
  <si>
    <t xml:space="preserve">s3</t>
  </si>
  <si>
    <t xml:space="preserve">ts4</t>
  </si>
  <si>
    <t xml:space="preserve">s4</t>
  </si>
  <si>
    <t xml:space="preserve">ts5</t>
  </si>
  <si>
    <t xml:space="preserve">s5</t>
  </si>
  <si>
    <t xml:space="preserve">ts6</t>
  </si>
  <si>
    <t xml:space="preserve">s6</t>
  </si>
  <si>
    <t xml:space="preserve">ts7</t>
  </si>
  <si>
    <t xml:space="preserve">s7</t>
  </si>
  <si>
    <t xml:space="preserve">ts8</t>
  </si>
  <si>
    <t xml:space="preserve">s8</t>
  </si>
  <si>
    <t xml:space="preserve">ts9</t>
  </si>
  <si>
    <t xml:space="preserve">s9</t>
  </si>
  <si>
    <t xml:space="preserve">ts10</t>
  </si>
  <si>
    <t xml:space="preserve">s10</t>
  </si>
  <si>
    <t xml:space="preserve">ts11</t>
  </si>
  <si>
    <t xml:space="preserve">s11</t>
  </si>
  <si>
    <t xml:space="preserve">ts12</t>
  </si>
  <si>
    <t xml:space="preserve">ts13</t>
  </si>
  <si>
    <t xml:space="preserve">ts14</t>
  </si>
  <si>
    <t xml:space="preserve">ts15</t>
  </si>
  <si>
    <t xml:space="preserve">ts16</t>
  </si>
  <si>
    <t xml:space="preserve">ts17</t>
  </si>
  <si>
    <t xml:space="preserve">ts18</t>
  </si>
  <si>
    <t xml:space="preserve">ts19</t>
  </si>
  <si>
    <t xml:space="preserve">ts20</t>
  </si>
  <si>
    <t xml:space="preserve">ts21</t>
  </si>
  <si>
    <t xml:space="preserve">ts22</t>
  </si>
  <si>
    <t xml:space="preserve">ts23</t>
  </si>
  <si>
    <t xml:space="preserve">ts24</t>
  </si>
  <si>
    <t xml:space="preserve">ts25</t>
  </si>
  <si>
    <t xml:space="preserve">ts26</t>
  </si>
  <si>
    <t xml:space="preserve">ts27</t>
  </si>
  <si>
    <t xml:space="preserve">ts28</t>
  </si>
  <si>
    <t xml:space="preserve">ts29</t>
  </si>
  <si>
    <t xml:space="preserve">ts30</t>
  </si>
  <si>
    <t xml:space="preserve">CAG-EGFP 11</t>
  </si>
  <si>
    <t xml:space="preserve">ts31</t>
  </si>
  <si>
    <t xml:space="preserve">ts32</t>
  </si>
  <si>
    <t xml:space="preserve">ts33</t>
  </si>
  <si>
    <t xml:space="preserve">ts34</t>
  </si>
  <si>
    <t xml:space="preserve">ts35</t>
  </si>
  <si>
    <t xml:space="preserve">ts36</t>
  </si>
  <si>
    <t xml:space="preserve">ts37</t>
  </si>
  <si>
    <t xml:space="preserve">ts38</t>
  </si>
  <si>
    <t xml:space="preserve">ts39</t>
  </si>
  <si>
    <t xml:space="preserve">ts40</t>
  </si>
  <si>
    <t xml:space="preserve">ts41</t>
  </si>
  <si>
    <t xml:space="preserve">ts42</t>
  </si>
  <si>
    <t xml:space="preserve">ts43</t>
  </si>
  <si>
    <t xml:space="preserve">ts44</t>
  </si>
  <si>
    <t xml:space="preserve">ts45</t>
  </si>
  <si>
    <t xml:space="preserve">ts46</t>
  </si>
  <si>
    <t xml:space="preserve">ts47</t>
  </si>
  <si>
    <t xml:space="preserve">ts48</t>
  </si>
  <si>
    <t xml:space="preserve">ts49</t>
  </si>
  <si>
    <t xml:space="preserve">CAG-EGFP ?</t>
  </si>
  <si>
    <t xml:space="preserve">ts50</t>
  </si>
  <si>
    <t xml:space="preserve">CAG-EGFP 21</t>
  </si>
  <si>
    <t xml:space="preserve">ts51</t>
  </si>
  <si>
    <t xml:space="preserve">CAG-EGFP 18</t>
  </si>
  <si>
    <t xml:space="preserve">ts52</t>
  </si>
  <si>
    <t xml:space="preserve">CAG-EGFP 23</t>
  </si>
  <si>
    <t xml:space="preserve">ts53</t>
  </si>
  <si>
    <t xml:space="preserve">ts54</t>
  </si>
  <si>
    <t xml:space="preserve">ts55</t>
  </si>
  <si>
    <t xml:space="preserve">ts56</t>
  </si>
  <si>
    <t xml:space="preserve">ts57</t>
  </si>
  <si>
    <t xml:space="preserve">ts58</t>
  </si>
  <si>
    <t xml:space="preserve">ts59</t>
  </si>
  <si>
    <t xml:space="preserve">ts60</t>
  </si>
  <si>
    <t xml:space="preserve">ts61</t>
  </si>
  <si>
    <t xml:space="preserve">CAG-EGFP 27</t>
  </si>
  <si>
    <t xml:space="preserve">ts62</t>
  </si>
  <si>
    <t xml:space="preserve">CAG-EGFP 26</t>
  </si>
  <si>
    <t xml:space="preserve">ts63</t>
  </si>
  <si>
    <t xml:space="preserve">CAG-EGFP 29</t>
  </si>
  <si>
    <t xml:space="preserve">ts64</t>
  </si>
  <si>
    <t xml:space="preserve">From Abe sensei</t>
  </si>
  <si>
    <t xml:space="preserve">ts65</t>
  </si>
  <si>
    <t xml:space="preserve">ts66</t>
  </si>
  <si>
    <t xml:space="preserve">ts67</t>
  </si>
  <si>
    <t xml:space="preserve">ts68</t>
  </si>
  <si>
    <t xml:space="preserve">ts69</t>
  </si>
  <si>
    <t xml:space="preserve">ts70</t>
  </si>
  <si>
    <t xml:space="preserve">ts71</t>
  </si>
  <si>
    <t xml:space="preserve">wt 29</t>
  </si>
  <si>
    <t xml:space="preserve">ts72</t>
  </si>
  <si>
    <t xml:space="preserve">wt 16</t>
  </si>
  <si>
    <t xml:space="preserve">ts73</t>
  </si>
  <si>
    <t xml:space="preserve">wt  17</t>
  </si>
  <si>
    <t xml:space="preserve">ts74</t>
  </si>
  <si>
    <t xml:space="preserve">CAG-EGFP 30</t>
  </si>
  <si>
    <t xml:space="preserve">ts75</t>
  </si>
  <si>
    <t xml:space="preserve">CAG-EGFP 31</t>
  </si>
  <si>
    <t xml:space="preserve">ts76</t>
  </si>
  <si>
    <t xml:space="preserve">CAG-EGFP 32</t>
  </si>
  <si>
    <t xml:space="preserve">ts77</t>
  </si>
  <si>
    <t xml:space="preserve">wt 19</t>
  </si>
  <si>
    <t xml:space="preserve">ts78</t>
  </si>
  <si>
    <t xml:space="preserve">wt 20</t>
  </si>
  <si>
    <t xml:space="preserve">ts79</t>
  </si>
  <si>
    <t xml:space="preserve">CAG-EGFP 33</t>
  </si>
  <si>
    <t xml:space="preserve">ts80</t>
  </si>
  <si>
    <t xml:space="preserve">CAG-EGFP 36</t>
  </si>
  <si>
    <t xml:space="preserve">ts81</t>
  </si>
  <si>
    <t xml:space="preserve">CAG-EGFP 37</t>
  </si>
  <si>
    <t xml:space="preserve">ts82</t>
  </si>
  <si>
    <t xml:space="preserve">From Abe sensei 940-944</t>
  </si>
  <si>
    <t xml:space="preserve">ts83</t>
  </si>
  <si>
    <t xml:space="preserve">wt 21</t>
  </si>
  <si>
    <t xml:space="preserve">ts84</t>
  </si>
  <si>
    <t xml:space="preserve">ts85</t>
  </si>
  <si>
    <t xml:space="preserve">wt 37</t>
  </si>
  <si>
    <t xml:space="preserve">ts86</t>
  </si>
  <si>
    <t xml:space="preserve">5xFAD 5</t>
  </si>
  <si>
    <t xml:space="preserve">ts87</t>
  </si>
  <si>
    <t xml:space="preserve">5xFAD 7</t>
  </si>
  <si>
    <t xml:space="preserve">ts88</t>
  </si>
  <si>
    <t xml:space="preserve">5xFAD 8</t>
  </si>
  <si>
    <t xml:space="preserve">ts89</t>
  </si>
  <si>
    <t xml:space="preserve">5xFAD 9</t>
  </si>
  <si>
    <t xml:space="preserve">ts90</t>
  </si>
  <si>
    <t xml:space="preserve">5xFAD 30</t>
  </si>
  <si>
    <t xml:space="preserve">ts91</t>
  </si>
  <si>
    <t xml:space="preserve">wt 33</t>
  </si>
  <si>
    <t xml:space="preserve">ts92</t>
  </si>
  <si>
    <t xml:space="preserve">ts93</t>
  </si>
  <si>
    <t xml:space="preserve">5xFAD/AQP4KO 28</t>
  </si>
  <si>
    <t xml:space="preserve">ts94</t>
  </si>
  <si>
    <t xml:space="preserve">wt 34</t>
  </si>
  <si>
    <t xml:space="preserve">ts95</t>
  </si>
  <si>
    <t xml:space="preserve">5xFAD/AQP4KO 29</t>
  </si>
  <si>
    <t xml:space="preserve">ts96</t>
  </si>
  <si>
    <t xml:space="preserve">wt 35</t>
  </si>
  <si>
    <t xml:space="preserve">ts97</t>
  </si>
  <si>
    <t xml:space="preserve">5xFAD/AQP4KO 31</t>
  </si>
  <si>
    <t xml:space="preserve">ts98</t>
  </si>
  <si>
    <t xml:space="preserve">wt 56</t>
  </si>
  <si>
    <t xml:space="preserve">ts99</t>
  </si>
  <si>
    <t xml:space="preserve">wt 57</t>
  </si>
  <si>
    <t xml:space="preserve">ts100</t>
  </si>
  <si>
    <t xml:space="preserve">wt 43</t>
  </si>
  <si>
    <t xml:space="preserve">ts101</t>
  </si>
  <si>
    <t xml:space="preserve">wt 44</t>
  </si>
  <si>
    <t xml:space="preserve">ts102</t>
  </si>
  <si>
    <t xml:space="preserve">wt 45</t>
  </si>
  <si>
    <t xml:space="preserve">ts103</t>
  </si>
  <si>
    <t xml:space="preserve">wt 46</t>
  </si>
  <si>
    <t xml:space="preserve">ts104</t>
  </si>
  <si>
    <t xml:space="preserve">wt 47</t>
  </si>
  <si>
    <t xml:space="preserve">ts105</t>
  </si>
  <si>
    <t xml:space="preserve">wt 48</t>
  </si>
  <si>
    <t xml:space="preserve">ts106</t>
  </si>
  <si>
    <t xml:space="preserve">wt 40</t>
  </si>
  <si>
    <t xml:space="preserve">ts107</t>
  </si>
  <si>
    <t xml:space="preserve">wt 41</t>
  </si>
  <si>
    <t xml:space="preserve">ts108</t>
  </si>
  <si>
    <t xml:space="preserve">CAG-EGFP 61</t>
  </si>
  <si>
    <t xml:space="preserve">ts109</t>
  </si>
  <si>
    <t xml:space="preserve">ts110</t>
  </si>
  <si>
    <t xml:space="preserve">5XFAD 26</t>
  </si>
  <si>
    <t xml:space="preserve">ts111</t>
  </si>
  <si>
    <t xml:space="preserve">5XFAD 31</t>
  </si>
  <si>
    <t xml:space="preserve">ts112</t>
  </si>
  <si>
    <t xml:space="preserve">wt 3</t>
  </si>
  <si>
    <t xml:space="preserve">ts113</t>
  </si>
  <si>
    <t xml:space="preserve">wt 4</t>
  </si>
  <si>
    <t xml:space="preserve">ts114</t>
  </si>
  <si>
    <t xml:space="preserve">CAG-EGFP 42</t>
  </si>
  <si>
    <t xml:space="preserve">ts115</t>
  </si>
  <si>
    <t xml:space="preserve">CAG-EGFP 43</t>
  </si>
  <si>
    <t xml:space="preserve">ts116</t>
  </si>
  <si>
    <t xml:space="preserve">wt 65</t>
  </si>
  <si>
    <t xml:space="preserve">ts117</t>
  </si>
  <si>
    <t xml:space="preserve">5 x FAD x AQP4KO 7</t>
  </si>
  <si>
    <t xml:space="preserve">ts118</t>
  </si>
  <si>
    <t xml:space="preserve">5 x FAD x AQP4KO 8</t>
  </si>
  <si>
    <t xml:space="preserve">ts119</t>
  </si>
  <si>
    <t xml:space="preserve">CAG-EGFP 62</t>
  </si>
  <si>
    <t xml:space="preserve">ts120</t>
  </si>
  <si>
    <t xml:space="preserve">CAG-EGFP 63</t>
  </si>
  <si>
    <t xml:space="preserve">ts121</t>
  </si>
  <si>
    <t xml:space="preserve">CAG-EGFP 78</t>
  </si>
  <si>
    <t xml:space="preserve">ts122</t>
  </si>
  <si>
    <t xml:space="preserve">CAG-EGFP 79</t>
  </si>
  <si>
    <t xml:space="preserve">ts123</t>
  </si>
  <si>
    <t xml:space="preserve">wt -</t>
  </si>
  <si>
    <t xml:space="preserve">ts124</t>
  </si>
  <si>
    <t xml:space="preserve">wt 71</t>
  </si>
  <si>
    <t xml:space="preserve">ts125</t>
  </si>
  <si>
    <t xml:space="preserve">CAG-EGFP 75</t>
  </si>
  <si>
    <t xml:space="preserve">ts126</t>
  </si>
  <si>
    <t xml:space="preserve">CAG-EGFP 76</t>
  </si>
  <si>
    <t xml:space="preserve">ts127</t>
  </si>
  <si>
    <t xml:space="preserve">wt 72</t>
  </si>
  <si>
    <t xml:space="preserve">ts128</t>
  </si>
  <si>
    <t xml:space="preserve">CAG-EGFP 77</t>
  </si>
  <si>
    <t xml:space="preserve">ts129</t>
  </si>
  <si>
    <t xml:space="preserve">wt 77</t>
  </si>
  <si>
    <t xml:space="preserve">ts130</t>
  </si>
  <si>
    <t xml:space="preserve">wt 78</t>
  </si>
  <si>
    <t xml:space="preserve">ts131</t>
  </si>
  <si>
    <t xml:space="preserve">wt 22</t>
  </si>
  <si>
    <t xml:space="preserve">ts132</t>
  </si>
  <si>
    <t xml:space="preserve">From Nuriya-Group</t>
  </si>
  <si>
    <t xml:space="preserve">ts133</t>
  </si>
  <si>
    <t xml:space="preserve">wt 23</t>
  </si>
  <si>
    <t xml:space="preserve">ts134</t>
  </si>
  <si>
    <t xml:space="preserve">CAG-EGFP 71</t>
  </si>
  <si>
    <t xml:space="preserve">ts135</t>
  </si>
  <si>
    <t xml:space="preserve">5xFAD 40</t>
  </si>
  <si>
    <t xml:space="preserve">ts136</t>
  </si>
  <si>
    <t xml:space="preserve">wt 24</t>
  </si>
  <si>
    <t xml:space="preserve">ts137</t>
  </si>
  <si>
    <t xml:space="preserve">wt 25</t>
  </si>
  <si>
    <t xml:space="preserve">ts138</t>
  </si>
  <si>
    <t xml:space="preserve">wt 82</t>
  </si>
  <si>
    <t xml:space="preserve">ts139</t>
  </si>
  <si>
    <t xml:space="preserve">wt 85</t>
  </si>
  <si>
    <t xml:space="preserve">ts140</t>
  </si>
  <si>
    <t xml:space="preserve">wt 83</t>
  </si>
  <si>
    <t xml:space="preserve">ts141</t>
  </si>
  <si>
    <t xml:space="preserve">wt 86</t>
  </si>
  <si>
    <t xml:space="preserve">ts142</t>
  </si>
  <si>
    <t xml:space="preserve">5xFAD/AQP4KO11</t>
  </si>
  <si>
    <t xml:space="preserve">ts143</t>
  </si>
  <si>
    <t xml:space="preserve">5xFAD/AQP4KO12</t>
  </si>
  <si>
    <t xml:space="preserve">ts144</t>
  </si>
  <si>
    <t xml:space="preserve">5xFAD 46</t>
  </si>
  <si>
    <t xml:space="preserve">ts145</t>
  </si>
  <si>
    <t xml:space="preserve">5xFAD 47</t>
  </si>
  <si>
    <t xml:space="preserve">ts146</t>
  </si>
  <si>
    <t xml:space="preserve">5xFAD/AQP4KO15</t>
  </si>
  <si>
    <t xml:space="preserve">ts147</t>
  </si>
  <si>
    <t xml:space="preserve">5xFAD/AQP4KO16</t>
  </si>
  <si>
    <t xml:space="preserve">ts148</t>
  </si>
  <si>
    <t xml:space="preserve">5xFAD 58</t>
  </si>
  <si>
    <t xml:space="preserve">ts149</t>
  </si>
  <si>
    <t xml:space="preserve">5xFAD 73 (wt)</t>
  </si>
  <si>
    <t xml:space="preserve">ts150</t>
  </si>
  <si>
    <t xml:space="preserve">5xFAD 71</t>
  </si>
  <si>
    <t xml:space="preserve">ts151</t>
  </si>
  <si>
    <t xml:space="preserve">5xFAD 77</t>
  </si>
  <si>
    <t xml:space="preserve">ts152</t>
  </si>
  <si>
    <t xml:space="preserve">5xFAD/AQP4KO 22</t>
  </si>
  <si>
    <t xml:space="preserve">ts153</t>
  </si>
  <si>
    <t xml:space="preserve">5xFAD 78 (wt)</t>
  </si>
  <si>
    <t xml:space="preserve">ts154</t>
  </si>
  <si>
    <t xml:space="preserve">5xFAD 79 (wt)</t>
  </si>
  <si>
    <t xml:space="preserve">ts155</t>
  </si>
  <si>
    <t xml:space="preserve">5xFAD/AQP4KO10</t>
  </si>
  <si>
    <t xml:space="preserve">ts156</t>
  </si>
  <si>
    <t xml:space="preserve">5xFAD 70 (wt)</t>
  </si>
  <si>
    <t xml:space="preserve">ts157</t>
  </si>
  <si>
    <t xml:space="preserve">5xFAD/AQP4KO 23</t>
  </si>
  <si>
    <t xml:space="preserve">ts158</t>
  </si>
  <si>
    <t xml:space="preserve">5xFAD/AQP4KO 26</t>
  </si>
  <si>
    <t xml:space="preserve">ts159</t>
  </si>
  <si>
    <t xml:space="preserve">5xFAD 72</t>
  </si>
  <si>
    <t xml:space="preserve">ts160</t>
  </si>
  <si>
    <t xml:space="preserve">5xFAD 81</t>
  </si>
  <si>
    <t xml:space="preserve">ts161</t>
  </si>
  <si>
    <t xml:space="preserve">5xFAD 22</t>
  </si>
  <si>
    <t xml:space="preserve">ts162</t>
  </si>
  <si>
    <t xml:space="preserve">wt 8</t>
  </si>
  <si>
    <t xml:space="preserve">ts163</t>
  </si>
  <si>
    <t xml:space="preserve">wt 9</t>
  </si>
  <si>
    <t xml:space="preserve">ts164</t>
  </si>
  <si>
    <t xml:space="preserve">From Nuriya group</t>
  </si>
  <si>
    <t xml:space="preserve">ts165</t>
  </si>
  <si>
    <t xml:space="preserve">AQP4KO 28</t>
  </si>
  <si>
    <t xml:space="preserve">ts166</t>
  </si>
  <si>
    <t xml:space="preserve">ts167</t>
  </si>
  <si>
    <t xml:space="preserve">CAG-EGFP 89</t>
  </si>
  <si>
    <t xml:space="preserve">ts168</t>
  </si>
  <si>
    <t xml:space="preserve">CAG-EGFP 91</t>
  </si>
  <si>
    <t xml:space="preserve">ts169</t>
  </si>
  <si>
    <t xml:space="preserve">ts170</t>
  </si>
  <si>
    <t xml:space="preserve">CAG-EGFP 92</t>
  </si>
  <si>
    <t xml:space="preserve">ts171</t>
  </si>
  <si>
    <t xml:space="preserve">ts172</t>
  </si>
  <si>
    <t xml:space="preserve">ts173</t>
  </si>
  <si>
    <t xml:space="preserve">CAG-EGFP 93</t>
  </si>
  <si>
    <t xml:space="preserve">ts174</t>
  </si>
  <si>
    <t xml:space="preserve">5xFAD 67 (WT)</t>
  </si>
  <si>
    <t xml:space="preserve">ts175</t>
  </si>
  <si>
    <t xml:space="preserve">5xFAD 80 (WT)</t>
  </si>
  <si>
    <t xml:space="preserve">ts176</t>
  </si>
  <si>
    <t xml:space="preserve">ts177</t>
  </si>
  <si>
    <t xml:space="preserve">5xFAD/AQP4KO 38</t>
  </si>
  <si>
    <t xml:space="preserve">ts178</t>
  </si>
  <si>
    <t xml:space="preserve">5xFAD/AQP4KO 44</t>
  </si>
  <si>
    <t xml:space="preserve">ts179</t>
  </si>
  <si>
    <t xml:space="preserve">5xFAD/AQP4KO 50</t>
  </si>
  <si>
    <t xml:space="preserve">ts180</t>
  </si>
  <si>
    <t xml:space="preserve">5xFAD 68 (WT)</t>
  </si>
  <si>
    <t xml:space="preserve">ts181</t>
  </si>
  <si>
    <t xml:space="preserve">5xFAD 85 (WT)</t>
  </si>
  <si>
    <t xml:space="preserve">ts182</t>
  </si>
  <si>
    <t xml:space="preserve">5xFAD 86 (WT)</t>
  </si>
  <si>
    <t xml:space="preserve">ts183</t>
  </si>
  <si>
    <t xml:space="preserve">5xFAD/AQP4KO 33</t>
  </si>
  <si>
    <t xml:space="preserve">ts184</t>
  </si>
  <si>
    <t xml:space="preserve">5xFAD/AQP4KO 43</t>
  </si>
  <si>
    <t xml:space="preserve">ts185</t>
  </si>
  <si>
    <t xml:space="preserve">5xFAD/AQP4KO 56</t>
  </si>
  <si>
    <t xml:space="preserve">ts186</t>
  </si>
  <si>
    <t xml:space="preserve">CAG-EGFP 94</t>
  </si>
  <si>
    <t xml:space="preserve">ts187</t>
  </si>
  <si>
    <t xml:space="preserve">CAG-EGFP 96</t>
  </si>
  <si>
    <t xml:space="preserve">ts188</t>
  </si>
  <si>
    <t xml:space="preserve">CAG-EGFP 97</t>
  </si>
  <si>
    <t xml:space="preserve">ts189</t>
  </si>
  <si>
    <t xml:space="preserve">ts190</t>
  </si>
  <si>
    <t xml:space="preserve">ts191</t>
  </si>
  <si>
    <t xml:space="preserve">ts192</t>
  </si>
  <si>
    <t xml:space="preserve">ts193</t>
  </si>
  <si>
    <t xml:space="preserve">ts194</t>
  </si>
  <si>
    <t xml:space="preserve">ts195</t>
  </si>
  <si>
    <t xml:space="preserve">ts196</t>
  </si>
  <si>
    <t xml:space="preserve">ts197</t>
  </si>
  <si>
    <t xml:space="preserve">ts198</t>
  </si>
  <si>
    <t xml:space="preserve">ts199</t>
  </si>
  <si>
    <t xml:space="preserve">ts200</t>
  </si>
  <si>
    <t xml:space="preserve">ts201</t>
  </si>
  <si>
    <t xml:space="preserve">WT100</t>
  </si>
  <si>
    <t xml:space="preserve">ts202</t>
  </si>
  <si>
    <t xml:space="preserve">WT101</t>
  </si>
  <si>
    <t xml:space="preserve">ts203</t>
  </si>
  <si>
    <t xml:space="preserve">WT112</t>
  </si>
  <si>
    <t xml:space="preserve">ts204</t>
  </si>
  <si>
    <t xml:space="preserve">WT109</t>
  </si>
  <si>
    <t xml:space="preserve">ts205</t>
  </si>
  <si>
    <t xml:space="preserve">WT110</t>
  </si>
  <si>
    <t xml:space="preserve">ts206</t>
  </si>
  <si>
    <t xml:space="preserve">WT111</t>
  </si>
  <si>
    <t xml:space="preserve">ts207</t>
  </si>
  <si>
    <t xml:space="preserve">WT115</t>
  </si>
  <si>
    <t xml:space="preserve">ts208</t>
  </si>
  <si>
    <t xml:space="preserve">WT114</t>
  </si>
  <si>
    <t xml:space="preserve">ts209</t>
  </si>
  <si>
    <t xml:space="preserve">WT108</t>
  </si>
  <si>
    <t xml:space="preserve">ts210</t>
  </si>
  <si>
    <t xml:space="preserve">CAG-EGFP 101</t>
  </si>
  <si>
    <t xml:space="preserve">ts211</t>
  </si>
  <si>
    <t xml:space="preserve">CAG-EGFP 102</t>
  </si>
  <si>
    <t xml:space="preserve">ts212</t>
  </si>
  <si>
    <t xml:space="preserve">CAG-EGFP 103</t>
  </si>
  <si>
    <t xml:space="preserve">ts213</t>
  </si>
  <si>
    <t xml:space="preserve">CAG-EGFP 104</t>
  </si>
  <si>
    <t xml:space="preserve">ts214</t>
  </si>
  <si>
    <t xml:space="preserve">WT118</t>
  </si>
  <si>
    <t xml:space="preserve">ts215</t>
  </si>
  <si>
    <t xml:space="preserve">WT124</t>
  </si>
  <si>
    <t xml:space="preserve">ts216</t>
  </si>
  <si>
    <t xml:space="preserve">WT119</t>
  </si>
  <si>
    <t xml:space="preserve">ts217</t>
  </si>
  <si>
    <t xml:space="preserve">WT125</t>
  </si>
  <si>
    <t xml:space="preserve">ts218</t>
  </si>
  <si>
    <t xml:space="preserve">WT120</t>
  </si>
  <si>
    <t xml:space="preserve">ts219</t>
  </si>
  <si>
    <t xml:space="preserve">WT126</t>
  </si>
  <si>
    <t xml:space="preserve">ts220</t>
  </si>
  <si>
    <t xml:space="preserve">CAG-EGFP 105</t>
  </si>
  <si>
    <t xml:space="preserve">ts221</t>
  </si>
  <si>
    <t xml:space="preserve">5 x FAD x AQP4KO 19</t>
  </si>
  <si>
    <t xml:space="preserve">ts222</t>
  </si>
  <si>
    <t xml:space="preserve">5 x FAD x AQP4KO 20</t>
  </si>
  <si>
    <t xml:space="preserve">ts223</t>
  </si>
  <si>
    <t xml:space="preserve">CAG-EGFP 106</t>
  </si>
  <si>
    <t xml:space="preserve">ts224</t>
  </si>
  <si>
    <t xml:space="preserve">CAG-EGFP 107</t>
  </si>
  <si>
    <t xml:space="preserve">ts225</t>
  </si>
  <si>
    <t xml:space="preserve">CAG-EGFP 110</t>
  </si>
  <si>
    <t xml:space="preserve">ts226</t>
  </si>
  <si>
    <t xml:space="preserve">CAG-EGFP 108</t>
  </si>
  <si>
    <t xml:space="preserve">ts227</t>
  </si>
  <si>
    <t xml:space="preserve">CAG-EGFP 109</t>
  </si>
  <si>
    <t xml:space="preserve">ts228</t>
  </si>
  <si>
    <t xml:space="preserve">ts229</t>
  </si>
  <si>
    <t xml:space="preserve">CAGEGFP x AQP4KO67</t>
  </si>
  <si>
    <t xml:space="preserve">ts230</t>
  </si>
  <si>
    <t xml:space="preserve">ts231</t>
  </si>
  <si>
    <t xml:space="preserve">CAGEGFP x AQP4KO60</t>
  </si>
  <si>
    <t xml:space="preserve">ts232</t>
  </si>
  <si>
    <t xml:space="preserve">WT121</t>
  </si>
  <si>
    <t xml:space="preserve">ts233</t>
  </si>
  <si>
    <t xml:space="preserve">WT122</t>
  </si>
  <si>
    <t xml:space="preserve">ts234</t>
  </si>
  <si>
    <t xml:space="preserve">WT123</t>
  </si>
  <si>
    <t xml:space="preserve">ts235</t>
  </si>
  <si>
    <t xml:space="preserve">ts236</t>
  </si>
  <si>
    <t xml:space="preserve">ts237</t>
  </si>
  <si>
    <t xml:space="preserve">CAG-EGFP 111</t>
  </si>
  <si>
    <t xml:space="preserve">ts238</t>
  </si>
  <si>
    <t xml:space="preserve">ts239</t>
  </si>
  <si>
    <t xml:space="preserve">WT127</t>
  </si>
  <si>
    <t xml:space="preserve">ts240</t>
  </si>
  <si>
    <t xml:space="preserve">WT128</t>
  </si>
  <si>
    <t xml:space="preserve">ts241</t>
  </si>
  <si>
    <t xml:space="preserve">WT129</t>
  </si>
  <si>
    <t xml:space="preserve">ts242</t>
  </si>
  <si>
    <t xml:space="preserve">CAG-EGFP 118</t>
  </si>
  <si>
    <t xml:space="preserve">ts243</t>
  </si>
  <si>
    <t xml:space="preserve">WT132</t>
  </si>
  <si>
    <t xml:space="preserve">ts244</t>
  </si>
  <si>
    <t xml:space="preserve">CAGEGFP x AQP4KO22</t>
  </si>
  <si>
    <t xml:space="preserve">ts245</t>
  </si>
  <si>
    <t xml:space="preserve">CAGEGFP x AQP4KO24</t>
  </si>
  <si>
    <t xml:space="preserve">ts246</t>
  </si>
  <si>
    <t xml:space="preserve">ts247</t>
  </si>
  <si>
    <t xml:space="preserve">CAG-EGFP 119</t>
  </si>
  <si>
    <t xml:space="preserve">ts248</t>
  </si>
  <si>
    <t xml:space="preserve">CAGEGFP x AQP4KO68</t>
  </si>
  <si>
    <t xml:space="preserve">ts249</t>
  </si>
  <si>
    <t xml:space="preserve">CAG-EGFP 120</t>
  </si>
  <si>
    <t xml:space="preserve">ts250</t>
  </si>
  <si>
    <t xml:space="preserve">CAG-EGFP 121</t>
  </si>
  <si>
    <t xml:space="preserve">ts251</t>
  </si>
  <si>
    <t xml:space="preserve">CAG-EGFP 122</t>
  </si>
  <si>
    <t xml:space="preserve">ts252</t>
  </si>
  <si>
    <t xml:space="preserve">WT133</t>
  </si>
  <si>
    <t xml:space="preserve">ts253</t>
  </si>
  <si>
    <t xml:space="preserve">WT134</t>
  </si>
  <si>
    <t xml:space="preserve">ts254</t>
  </si>
  <si>
    <t xml:space="preserve">WT135</t>
  </si>
  <si>
    <t xml:space="preserve">ts255</t>
  </si>
  <si>
    <t xml:space="preserve">WT136</t>
  </si>
  <si>
    <t xml:space="preserve">ts256</t>
  </si>
  <si>
    <t xml:space="preserve">WT137</t>
  </si>
  <si>
    <t xml:space="preserve">ts257</t>
  </si>
  <si>
    <t xml:space="preserve">WT138</t>
  </si>
  <si>
    <t xml:space="preserve">ts258</t>
  </si>
  <si>
    <t xml:space="preserve">CAG-EGFP 112</t>
  </si>
  <si>
    <t xml:space="preserve">ts259</t>
  </si>
  <si>
    <t xml:space="preserve">CAG-EGFP 113</t>
  </si>
  <si>
    <t xml:space="preserve">ts260</t>
  </si>
  <si>
    <t xml:space="preserve">CAG-EGFP 129</t>
  </si>
  <si>
    <t xml:space="preserve">ts261</t>
  </si>
  <si>
    <t xml:space="preserve">CAG-EGFP 123</t>
  </si>
  <si>
    <t xml:space="preserve">ts262</t>
  </si>
  <si>
    <t xml:space="preserve">CAG-EGFP-AQP4KO 80</t>
  </si>
  <si>
    <t xml:space="preserve">ts263</t>
  </si>
  <si>
    <t xml:space="preserve">WT140?</t>
  </si>
  <si>
    <t xml:space="preserve">ts264</t>
  </si>
  <si>
    <t xml:space="preserve">ts265</t>
  </si>
  <si>
    <t xml:space="preserve">WT141</t>
  </si>
  <si>
    <t xml:space="preserve">ts266</t>
  </si>
  <si>
    <t xml:space="preserve">WT142</t>
  </si>
  <si>
    <t xml:space="preserve">ts267</t>
  </si>
  <si>
    <t xml:space="preserve">CAG-EGFP 130</t>
  </si>
  <si>
    <t xml:space="preserve">ts268</t>
  </si>
  <si>
    <t xml:space="preserve">WT143</t>
  </si>
  <si>
    <t xml:space="preserve">ts269</t>
  </si>
  <si>
    <t xml:space="preserve">WT144</t>
  </si>
  <si>
    <t xml:space="preserve">ts270</t>
  </si>
  <si>
    <t xml:space="preserve">WT147</t>
  </si>
  <si>
    <t xml:space="preserve">ts271</t>
  </si>
  <si>
    <t xml:space="preserve">WT148</t>
  </si>
  <si>
    <t xml:space="preserve">ts272</t>
  </si>
  <si>
    <t xml:space="preserve">WT149</t>
  </si>
  <si>
    <t xml:space="preserve">ts273</t>
  </si>
  <si>
    <t xml:space="preserve">CAG-EGFP-AQP4KO 81</t>
  </si>
  <si>
    <t xml:space="preserve">ts274</t>
  </si>
  <si>
    <t xml:space="preserve">WT145</t>
  </si>
  <si>
    <t xml:space="preserve">ts275</t>
  </si>
  <si>
    <t xml:space="preserve">WT130</t>
  </si>
  <si>
    <t xml:space="preserve">ts276</t>
  </si>
  <si>
    <t xml:space="preserve">WT131</t>
  </si>
  <si>
    <t xml:space="preserve">ts277</t>
  </si>
  <si>
    <t xml:space="preserve">ts278</t>
  </si>
  <si>
    <t xml:space="preserve">ts279</t>
  </si>
  <si>
    <t xml:space="preserve">ts280</t>
  </si>
  <si>
    <t xml:space="preserve">CAG-EGFP xx</t>
  </si>
  <si>
    <t xml:space="preserve">ts281</t>
  </si>
  <si>
    <t xml:space="preserve">WT150</t>
  </si>
  <si>
    <t xml:space="preserve">ts282</t>
  </si>
  <si>
    <t xml:space="preserve">WT151</t>
  </si>
  <si>
    <t xml:space="preserve">ts283</t>
  </si>
  <si>
    <t xml:space="preserve">WT167</t>
  </si>
  <si>
    <t xml:space="preserve">ts284</t>
  </si>
  <si>
    <t xml:space="preserve">ts285</t>
  </si>
  <si>
    <t xml:space="preserve">WT16</t>
  </si>
  <si>
    <t xml:space="preserve">ts286</t>
  </si>
  <si>
    <t xml:space="preserve">CAG-EGFP 131</t>
  </si>
  <si>
    <t xml:space="preserve">ts287</t>
  </si>
  <si>
    <t xml:space="preserve">CAG-EGFP 132</t>
  </si>
  <si>
    <t xml:space="preserve">ts288</t>
  </si>
  <si>
    <t xml:space="preserve">WT176</t>
  </si>
  <si>
    <t xml:space="preserve">ts289</t>
  </si>
  <si>
    <t xml:space="preserve">WT177</t>
  </si>
  <si>
    <t xml:space="preserve">ts290</t>
  </si>
  <si>
    <t xml:space="preserve">ts291</t>
  </si>
  <si>
    <t xml:space="preserve">ts292</t>
  </si>
  <si>
    <t xml:space="preserve">ts293</t>
  </si>
  <si>
    <t xml:space="preserve">ts294</t>
  </si>
  <si>
    <t xml:space="preserve">ts295</t>
  </si>
  <si>
    <t xml:space="preserve">ts296</t>
  </si>
  <si>
    <t xml:space="preserve">ts297</t>
  </si>
  <si>
    <t xml:space="preserve">ts298</t>
  </si>
  <si>
    <t xml:space="preserve">ts299</t>
  </si>
  <si>
    <t xml:space="preserve">ts300</t>
  </si>
  <si>
    <t xml:space="preserve">sk1</t>
  </si>
  <si>
    <t xml:space="preserve">WT146</t>
  </si>
  <si>
    <t xml:space="preserve">sk2</t>
  </si>
  <si>
    <t xml:space="preserve">WT156</t>
  </si>
  <si>
    <t xml:space="preserve">sk3</t>
  </si>
  <si>
    <t xml:space="preserve">WT157</t>
  </si>
  <si>
    <t xml:space="preserve">sk4</t>
  </si>
  <si>
    <t xml:space="preserve">WT158</t>
  </si>
  <si>
    <t xml:space="preserve">sk5</t>
  </si>
  <si>
    <t xml:space="preserve">WT154</t>
  </si>
  <si>
    <t xml:space="preserve">sk6</t>
  </si>
  <si>
    <t xml:space="preserve">WT155</t>
  </si>
  <si>
    <t xml:space="preserve">sk7</t>
  </si>
  <si>
    <r>
      <rPr>
        <sz val="11"/>
        <rFont val="Arial"/>
        <family val="0"/>
        <charset val="1"/>
      </rPr>
      <t xml:space="preserve">WT152 </t>
    </r>
    <r>
      <rPr>
        <sz val="11"/>
        <rFont val="Noto Sans CJK SC"/>
        <family val="2"/>
      </rPr>
      <t xml:space="preserve">骨から血が少し滲み出た</t>
    </r>
  </si>
  <si>
    <t xml:space="preserve">sk8</t>
  </si>
  <si>
    <t xml:space="preserve">AQP4KO61</t>
  </si>
  <si>
    <t xml:space="preserve">sk9</t>
  </si>
  <si>
    <r>
      <rPr>
        <sz val="11"/>
        <rFont val="Arial"/>
        <family val="0"/>
        <charset val="1"/>
      </rPr>
      <t xml:space="preserve">AQP4KO62 </t>
    </r>
    <r>
      <rPr>
        <sz val="11"/>
        <rFont val="Noto Sans CJK SC"/>
        <family val="2"/>
      </rPr>
      <t xml:space="preserve">端のほう少し内出血</t>
    </r>
  </si>
  <si>
    <t xml:space="preserve">sk10</t>
  </si>
  <si>
    <t xml:space="preserve">AQP4KO65</t>
  </si>
  <si>
    <t xml:space="preserve">sk11</t>
  </si>
  <si>
    <t xml:space="preserve">6w260324</t>
  </si>
  <si>
    <t xml:space="preserve">sk12</t>
  </si>
  <si>
    <t xml:space="preserve">WT169  6w260324</t>
  </si>
  <si>
    <t xml:space="preserve">sk13</t>
  </si>
  <si>
    <t xml:space="preserve">WT178</t>
  </si>
  <si>
    <t xml:space="preserve">sk14</t>
  </si>
  <si>
    <t xml:space="preserve">WT170</t>
  </si>
  <si>
    <t xml:space="preserve">sk15</t>
  </si>
  <si>
    <t xml:space="preserve">CAG-EGFP#137</t>
  </si>
  <si>
    <t xml:space="preserve">sk16</t>
  </si>
  <si>
    <t xml:space="preserve">WT171</t>
  </si>
  <si>
    <t xml:space="preserve">sk17</t>
  </si>
  <si>
    <t xml:space="preserve">WT172</t>
  </si>
  <si>
    <t xml:space="preserve">sk18</t>
  </si>
  <si>
    <t xml:space="preserve">WT173</t>
  </si>
  <si>
    <t xml:space="preserve">sk19</t>
  </si>
  <si>
    <t xml:space="preserve">WT179</t>
  </si>
  <si>
    <t xml:space="preserve">sk20</t>
  </si>
  <si>
    <t xml:space="preserve">#92</t>
  </si>
  <si>
    <t xml:space="preserve">sk21</t>
  </si>
  <si>
    <r>
      <rPr>
        <sz val="11"/>
        <rFont val="Arial"/>
        <family val="0"/>
        <charset val="1"/>
      </rPr>
      <t xml:space="preserve">#146 </t>
    </r>
    <r>
      <rPr>
        <sz val="11"/>
        <rFont val="Noto Sans CJK SC"/>
        <family val="2"/>
      </rPr>
      <t xml:space="preserve">カバーガラスの下に少し気泡が入った</t>
    </r>
  </si>
  <si>
    <t xml:space="preserve">sk22</t>
  </si>
  <si>
    <t xml:space="preserve">#95</t>
  </si>
  <si>
    <t xml:space="preserve">sk23</t>
  </si>
  <si>
    <t xml:space="preserve">#147</t>
  </si>
  <si>
    <t xml:space="preserve">sk24</t>
  </si>
  <si>
    <t xml:space="preserve">#140</t>
  </si>
  <si>
    <t xml:space="preserve">sk25</t>
  </si>
  <si>
    <t xml:space="preserve">#175</t>
  </si>
  <si>
    <t xml:space="preserve">sk26</t>
  </si>
  <si>
    <r>
      <rPr>
        <sz val="11"/>
        <rFont val="Arial"/>
        <family val="0"/>
        <charset val="1"/>
      </rPr>
      <t xml:space="preserve">#96 </t>
    </r>
    <r>
      <rPr>
        <sz val="11"/>
        <rFont val="Noto Sans CJK SC"/>
        <family val="2"/>
      </rPr>
      <t xml:space="preserve">カバーガラスの下に一部気泡が入った</t>
    </r>
  </si>
  <si>
    <t xml:space="preserve">sk27</t>
  </si>
  <si>
    <t xml:space="preserve">#176</t>
  </si>
  <si>
    <t xml:space="preserve">sk28</t>
  </si>
  <si>
    <t xml:space="preserve">#67</t>
  </si>
  <si>
    <t xml:space="preserve">sk29</t>
  </si>
  <si>
    <t xml:space="preserve">#68</t>
  </si>
  <si>
    <t xml:space="preserve">sk30</t>
  </si>
  <si>
    <t xml:space="preserve">#69</t>
  </si>
  <si>
    <t xml:space="preserve">sk31</t>
  </si>
  <si>
    <r>
      <rPr>
        <sz val="11"/>
        <rFont val="Arial"/>
        <family val="0"/>
        <charset val="1"/>
      </rPr>
      <t xml:space="preserve">#150 surgery</t>
    </r>
    <r>
      <rPr>
        <sz val="11"/>
        <rFont val="Noto Sans CJK SC"/>
        <family val="2"/>
      </rPr>
      <t xml:space="preserve">中に死亡</t>
    </r>
  </si>
  <si>
    <t xml:space="preserve">sk32</t>
  </si>
  <si>
    <t xml:space="preserve">#142</t>
  </si>
  <si>
    <t xml:space="preserve">sk33</t>
  </si>
  <si>
    <t xml:space="preserve">#141</t>
  </si>
  <si>
    <t xml:space="preserve">sk34</t>
  </si>
  <si>
    <r>
      <rPr>
        <sz val="11"/>
        <rFont val="Arial"/>
        <family val="0"/>
        <charset val="1"/>
      </rPr>
      <t xml:space="preserve">#187 </t>
    </r>
    <r>
      <rPr>
        <sz val="11"/>
        <rFont val="Noto Sans CJK SC"/>
        <family val="2"/>
      </rPr>
      <t xml:space="preserve">篠塚先生</t>
    </r>
    <r>
      <rPr>
        <sz val="11"/>
        <rFont val="Arial"/>
        <family val="0"/>
        <charset val="1"/>
      </rPr>
      <t xml:space="preserve">Demo</t>
    </r>
  </si>
  <si>
    <t xml:space="preserve">sk35</t>
  </si>
  <si>
    <r>
      <rPr>
        <sz val="11"/>
        <rFont val="Arial"/>
        <family val="0"/>
        <charset val="1"/>
      </rPr>
      <t xml:space="preserve">#188 </t>
    </r>
    <r>
      <rPr>
        <sz val="11"/>
        <rFont val="Noto Sans CJK SC"/>
        <family val="2"/>
      </rPr>
      <t xml:space="preserve">頭蓋骨穴あけ失敗→</t>
    </r>
    <r>
      <rPr>
        <sz val="11"/>
        <rFont val="Arial"/>
        <family val="0"/>
        <charset val="1"/>
      </rPr>
      <t xml:space="preserve">sac</t>
    </r>
  </si>
  <si>
    <t xml:space="preserve">sk36</t>
  </si>
  <si>
    <t xml:space="preserve">#189</t>
  </si>
  <si>
    <t xml:space="preserve">sk37</t>
  </si>
  <si>
    <t xml:space="preserve">sk38</t>
  </si>
  <si>
    <t xml:space="preserve">sk39</t>
  </si>
  <si>
    <t xml:space="preserve">sk40</t>
  </si>
  <si>
    <t xml:space="preserve">sk41</t>
  </si>
  <si>
    <t xml:space="preserve">sk42</t>
  </si>
  <si>
    <t xml:space="preserve">sk43</t>
  </si>
  <si>
    <t xml:space="preserve">sk44</t>
  </si>
  <si>
    <t xml:space="preserve">sk45</t>
  </si>
  <si>
    <t xml:space="preserve">sk46</t>
  </si>
  <si>
    <t xml:space="preserve">sk47</t>
  </si>
  <si>
    <t xml:space="preserve">sk48</t>
  </si>
  <si>
    <t xml:space="preserve">sk49</t>
  </si>
  <si>
    <t xml:space="preserve">sk50</t>
  </si>
  <si>
    <t xml:space="preserve">sk51</t>
  </si>
  <si>
    <t xml:space="preserve">sk52</t>
  </si>
  <si>
    <t xml:space="preserve">sk53</t>
  </si>
  <si>
    <t xml:space="preserve">sk54</t>
  </si>
  <si>
    <t xml:space="preserve">sk55</t>
  </si>
  <si>
    <t xml:space="preserve">sk56</t>
  </si>
  <si>
    <t xml:space="preserve">sk57</t>
  </si>
  <si>
    <t xml:space="preserve">sk58</t>
  </si>
  <si>
    <t xml:space="preserve">sk59</t>
  </si>
  <si>
    <t xml:space="preserve">sk60</t>
  </si>
  <si>
    <t xml:space="preserve">sk61</t>
  </si>
  <si>
    <t xml:space="preserve">sk62</t>
  </si>
  <si>
    <t xml:space="preserve">sk63</t>
  </si>
  <si>
    <t xml:space="preserve">sk64</t>
  </si>
  <si>
    <t xml:space="preserve">sk65</t>
  </si>
  <si>
    <t xml:space="preserve">sk66</t>
  </si>
  <si>
    <t xml:space="preserve">sk67</t>
  </si>
  <si>
    <t xml:space="preserve">sk68</t>
  </si>
  <si>
    <t xml:space="preserve">sk69</t>
  </si>
  <si>
    <t xml:space="preserve">sk70</t>
  </si>
  <si>
    <t xml:space="preserve">sk71</t>
  </si>
  <si>
    <t xml:space="preserve">sk72</t>
  </si>
  <si>
    <t xml:space="preserve">sk73</t>
  </si>
  <si>
    <t xml:space="preserve">sk74</t>
  </si>
  <si>
    <t xml:space="preserve">sk75</t>
  </si>
  <si>
    <t xml:space="preserve">sk76</t>
  </si>
  <si>
    <t xml:space="preserve">sk77</t>
  </si>
  <si>
    <t xml:space="preserve">sk78</t>
  </si>
  <si>
    <t xml:space="preserve">sk79</t>
  </si>
  <si>
    <t xml:space="preserve">sk80</t>
  </si>
  <si>
    <t xml:space="preserve">sk81</t>
  </si>
  <si>
    <t xml:space="preserve">sk82</t>
  </si>
  <si>
    <t xml:space="preserve">sk83</t>
  </si>
  <si>
    <t xml:space="preserve">sk84</t>
  </si>
  <si>
    <t xml:space="preserve">sk85</t>
  </si>
  <si>
    <t xml:space="preserve">sk86</t>
  </si>
  <si>
    <t xml:space="preserve">sk87</t>
  </si>
  <si>
    <t xml:space="preserve">sk88</t>
  </si>
  <si>
    <t xml:space="preserve">sk89</t>
  </si>
  <si>
    <t xml:space="preserve">sk90</t>
  </si>
  <si>
    <t xml:space="preserve">sk91</t>
  </si>
  <si>
    <t xml:space="preserve">sk92</t>
  </si>
  <si>
    <t xml:space="preserve">sk93</t>
  </si>
  <si>
    <t xml:space="preserve">sk94</t>
  </si>
  <si>
    <t xml:space="preserve">sk95</t>
  </si>
  <si>
    <t xml:space="preserve">sk96</t>
  </si>
  <si>
    <t xml:space="preserve">sk97</t>
  </si>
  <si>
    <t xml:space="preserve">sk98</t>
  </si>
  <si>
    <t xml:space="preserve">sk99</t>
  </si>
  <si>
    <t xml:space="preserve">sk100</t>
  </si>
  <si>
    <t xml:space="preserve">enroll_date</t>
  </si>
  <si>
    <t xml:space="preserve">procedure_id</t>
  </si>
  <si>
    <t xml:space="preserve">procedure_date</t>
  </si>
  <si>
    <t xml:space="preserve">series_id</t>
  </si>
  <si>
    <t xml:space="preserve">session_no</t>
  </si>
  <si>
    <t xml:space="preserve">analgesia</t>
  </si>
  <si>
    <t xml:space="preserve">construct</t>
  </si>
  <si>
    <t xml:space="preserve">site1_hemi</t>
  </si>
  <si>
    <t xml:space="preserve">site1_region</t>
  </si>
  <si>
    <t xml:space="preserve">site1_ap</t>
  </si>
  <si>
    <t xml:space="preserve">site1_ml</t>
  </si>
  <si>
    <t xml:space="preserve">site1_dv</t>
  </si>
  <si>
    <t xml:space="preserve">outcome</t>
  </si>
  <si>
    <t xml:space="preserve">notebook_scan</t>
  </si>
  <si>
    <t xml:space="preserve">pr-ts1-01</t>
  </si>
  <si>
    <t xml:space="preserve">チャンバーづけ</t>
  </si>
  <si>
    <t xml:space="preserve">pr-ts2-01</t>
  </si>
  <si>
    <t xml:space="preserve">pr-ts3-01</t>
  </si>
  <si>
    <t xml:space="preserve">FastBlue</t>
  </si>
  <si>
    <t xml:space="preserve">pr-ts4-01</t>
  </si>
  <si>
    <t xml:space="preserve">CM Catheter</t>
  </si>
  <si>
    <t xml:space="preserve">pr-ts4-02</t>
  </si>
  <si>
    <t xml:space="preserve">pr-ts5-01</t>
  </si>
  <si>
    <t xml:space="preserve">pr-ts5-02</t>
  </si>
  <si>
    <t xml:space="preserve">pr-ts6-01</t>
  </si>
  <si>
    <t xml:space="preserve">pr-ts6-02</t>
  </si>
  <si>
    <t xml:space="preserve">pr-ts7-01</t>
  </si>
  <si>
    <t xml:space="preserve">pr-ts7-02</t>
  </si>
  <si>
    <t xml:space="preserve">pr-ts8-01</t>
  </si>
  <si>
    <t xml:space="preserve">pr-ts8-02</t>
  </si>
  <si>
    <t xml:space="preserve">pr-ts9-01</t>
  </si>
  <si>
    <t xml:space="preserve">pr-ts10-01</t>
  </si>
  <si>
    <t xml:space="preserve">pr-ts10-02</t>
  </si>
  <si>
    <t xml:space="preserve">Window</t>
  </si>
  <si>
    <t xml:space="preserve">pr-ts11-01</t>
  </si>
  <si>
    <t xml:space="preserve">CSF Collection</t>
  </si>
  <si>
    <t xml:space="preserve">pr-ts12-01</t>
  </si>
  <si>
    <t xml:space="preserve">pr-ts13-01</t>
  </si>
  <si>
    <t xml:space="preserve">Cranial window</t>
  </si>
  <si>
    <t xml:space="preserve">pr-ts14-01</t>
  </si>
  <si>
    <t xml:space="preserve">pr-ts15-01</t>
  </si>
  <si>
    <t xml:space="preserve">pr-ts16-01</t>
  </si>
  <si>
    <t xml:space="preserve">pr-ts17-01</t>
  </si>
  <si>
    <t xml:space="preserve">pr-ts18-01</t>
  </si>
  <si>
    <t xml:space="preserve">pr-ts19-01</t>
  </si>
  <si>
    <t xml:space="preserve">Femoral artery catheter</t>
  </si>
  <si>
    <t xml:space="preserve">pr-ts20-01</t>
  </si>
  <si>
    <t xml:space="preserve">pr-ts21-01</t>
  </si>
  <si>
    <t xml:space="preserve">pr-ts22-01</t>
  </si>
  <si>
    <t xml:space="preserve">Needle insertion</t>
  </si>
  <si>
    <t xml:space="preserve">pr-ts23-01</t>
  </si>
  <si>
    <t xml:space="preserve">pr-ts24-01</t>
  </si>
  <si>
    <t xml:space="preserve">pr-ts24-02</t>
  </si>
  <si>
    <t xml:space="preserve">pr-ts25-01</t>
  </si>
  <si>
    <t xml:space="preserve">pr-ts25-02</t>
  </si>
  <si>
    <t xml:space="preserve">pr-ts26-01</t>
  </si>
  <si>
    <t xml:space="preserve">pr-ts27-01</t>
  </si>
  <si>
    <t xml:space="preserve">pr-ts28-01</t>
  </si>
  <si>
    <t xml:space="preserve">pr-ts28-02</t>
  </si>
  <si>
    <t xml:space="preserve">pr-ts29-01</t>
  </si>
  <si>
    <t xml:space="preserve">pr-ts29-02</t>
  </si>
  <si>
    <t xml:space="preserve">pr-ts30-01</t>
  </si>
  <si>
    <t xml:space="preserve">pr-ts30-02</t>
  </si>
  <si>
    <t xml:space="preserve">pr-ts31-01</t>
  </si>
  <si>
    <t xml:space="preserve">pr-ts31-02</t>
  </si>
  <si>
    <t xml:space="preserve">pr-ts32-01</t>
  </si>
  <si>
    <t xml:space="preserve">pr-ts32-02</t>
  </si>
  <si>
    <t xml:space="preserve">pr-ts33-01</t>
  </si>
  <si>
    <t xml:space="preserve">pr-ts33-02</t>
  </si>
  <si>
    <t xml:space="preserve">pr-ts34-01</t>
  </si>
  <si>
    <t xml:space="preserve">pr-ts34-02</t>
  </si>
  <si>
    <t xml:space="preserve">pr-ts35-01</t>
  </si>
  <si>
    <t xml:space="preserve">pr-ts35-02</t>
  </si>
  <si>
    <t xml:space="preserve">pr-ts36-01</t>
  </si>
  <si>
    <t xml:space="preserve">pr-ts36-02</t>
  </si>
  <si>
    <t xml:space="preserve">pr-ts37-01</t>
  </si>
  <si>
    <t xml:space="preserve">pr-ts37-02</t>
  </si>
  <si>
    <t xml:space="preserve">pr-ts38-01</t>
  </si>
  <si>
    <t xml:space="preserve">pr-ts38-02</t>
  </si>
  <si>
    <t xml:space="preserve">pr-ts39-01</t>
  </si>
  <si>
    <t xml:space="preserve">pr-ts39-02</t>
  </si>
  <si>
    <t xml:space="preserve">pr-ts40-01</t>
  </si>
  <si>
    <t xml:space="preserve">pr-ts40-02</t>
  </si>
  <si>
    <t xml:space="preserve">pr-ts41-01</t>
  </si>
  <si>
    <t xml:space="preserve">pr-ts41-02</t>
  </si>
  <si>
    <t xml:space="preserve">pr-ts42-01</t>
  </si>
  <si>
    <t xml:space="preserve">pr-ts42-02</t>
  </si>
  <si>
    <t xml:space="preserve">pr-ts43-01</t>
  </si>
  <si>
    <t xml:space="preserve">pr-ts43-02</t>
  </si>
  <si>
    <t xml:space="preserve">pr-ts44-01</t>
  </si>
  <si>
    <t xml:space="preserve">Injection</t>
  </si>
  <si>
    <t xml:space="preserve">pr-ts44-02</t>
  </si>
  <si>
    <t xml:space="preserve">pr-ts45-01</t>
  </si>
  <si>
    <t xml:space="preserve">pr-ts45-02</t>
  </si>
  <si>
    <t xml:space="preserve">pr-ts46-01</t>
  </si>
  <si>
    <t xml:space="preserve">pr-ts46-02</t>
  </si>
  <si>
    <t xml:space="preserve">pr-ts47-01</t>
  </si>
  <si>
    <t xml:space="preserve">pr-ts47-02</t>
  </si>
  <si>
    <t xml:space="preserve">pr-ts48-01</t>
  </si>
  <si>
    <t xml:space="preserve">pr-ts48-02</t>
  </si>
  <si>
    <t xml:space="preserve">pr-ts49-01</t>
  </si>
  <si>
    <t xml:space="preserve">pr-ts49-02</t>
  </si>
  <si>
    <t xml:space="preserve">pr-ts50-01</t>
  </si>
  <si>
    <t xml:space="preserve">pr-ts50-02</t>
  </si>
  <si>
    <t xml:space="preserve">pr-ts51-01</t>
  </si>
  <si>
    <t xml:space="preserve">pr-ts52-01</t>
  </si>
  <si>
    <t xml:space="preserve">Femoral vein catheter</t>
  </si>
  <si>
    <t xml:space="preserve">pr-ts52-02</t>
  </si>
  <si>
    <t xml:space="preserve">pr-ts53-01</t>
  </si>
  <si>
    <t xml:space="preserve">pr-ts53-02</t>
  </si>
  <si>
    <t xml:space="preserve">injection</t>
  </si>
  <si>
    <t xml:space="preserve">pr-ts54-01</t>
  </si>
  <si>
    <t xml:space="preserve">pr-ts54-02</t>
  </si>
  <si>
    <t xml:space="preserve">AAV injection</t>
  </si>
  <si>
    <t xml:space="preserve">pr-ts55-01</t>
  </si>
  <si>
    <t xml:space="preserve">pr-ts55-02</t>
  </si>
  <si>
    <t xml:space="preserve">pr-ts56-01</t>
  </si>
  <si>
    <t xml:space="preserve">pr-ts56-02</t>
  </si>
  <si>
    <t xml:space="preserve">pr-ts57-01</t>
  </si>
  <si>
    <t xml:space="preserve">pr-ts57-02</t>
  </si>
  <si>
    <t xml:space="preserve">pr-ts58-01</t>
  </si>
  <si>
    <t xml:space="preserve">pr-ts58-02</t>
  </si>
  <si>
    <t xml:space="preserve">pr-ts59-01</t>
  </si>
  <si>
    <t xml:space="preserve">pr-ts59-02</t>
  </si>
  <si>
    <t xml:space="preserve">pr-ts60-01</t>
  </si>
  <si>
    <t xml:space="preserve">pr-ts61-01</t>
  </si>
  <si>
    <t xml:space="preserve">pr-ts61-02</t>
  </si>
  <si>
    <t xml:space="preserve">inj</t>
  </si>
  <si>
    <t xml:space="preserve">pr-ts62-01</t>
  </si>
  <si>
    <t xml:space="preserve">pr-ts63-01</t>
  </si>
  <si>
    <t xml:space="preserve">pr-ts64-01</t>
  </si>
  <si>
    <t xml:space="preserve">Fix</t>
  </si>
  <si>
    <t xml:space="preserve">pr-ts65-01</t>
  </si>
  <si>
    <t xml:space="preserve">pr-ts66-01</t>
  </si>
  <si>
    <t xml:space="preserve">pr-ts67-01</t>
  </si>
  <si>
    <t xml:space="preserve">pr-ts67-02</t>
  </si>
  <si>
    <t xml:space="preserve">pr-ts68-01</t>
  </si>
  <si>
    <t xml:space="preserve">pr-ts69-01</t>
  </si>
  <si>
    <t xml:space="preserve">pr-ts70-01</t>
  </si>
  <si>
    <t xml:space="preserve">pr-ts70-02</t>
  </si>
  <si>
    <t xml:space="preserve">pr-ts71-01</t>
  </si>
  <si>
    <t xml:space="preserve">pr-ts71-02</t>
  </si>
  <si>
    <t xml:space="preserve">pr-ts72-01</t>
  </si>
  <si>
    <t xml:space="preserve">pr-ts73-01</t>
  </si>
  <si>
    <t xml:space="preserve">pr-ts74-01</t>
  </si>
  <si>
    <t xml:space="preserve">pr-ts75-01</t>
  </si>
  <si>
    <t xml:space="preserve">pr-ts76-01</t>
  </si>
  <si>
    <t xml:space="preserve">pr-ts77-01</t>
  </si>
  <si>
    <t xml:space="preserve">pr-ts78-01</t>
  </si>
  <si>
    <t xml:space="preserve">pr-ts79-01</t>
  </si>
  <si>
    <t xml:space="preserve">pr-ts80-01</t>
  </si>
  <si>
    <t xml:space="preserve">pr-ts81-01</t>
  </si>
  <si>
    <t xml:space="preserve">pr-ts82-01</t>
  </si>
  <si>
    <t xml:space="preserve">pr-ts83-01</t>
  </si>
  <si>
    <t xml:space="preserve">Fluometirc experiment</t>
  </si>
  <si>
    <t xml:space="preserve">pr-ts84-01</t>
  </si>
  <si>
    <t xml:space="preserve">pr-ts84-02</t>
  </si>
  <si>
    <t xml:space="preserve">pr-ts85-01</t>
  </si>
  <si>
    <t xml:space="preserve">pr-ts86-01</t>
  </si>
  <si>
    <t xml:space="preserve">pr-ts87-01</t>
  </si>
  <si>
    <t xml:space="preserve">pr-ts88-01</t>
  </si>
  <si>
    <t xml:space="preserve">pr-ts89-01</t>
  </si>
  <si>
    <t xml:space="preserve">pr-ts90-01</t>
  </si>
  <si>
    <t xml:space="preserve">pr-ts91-01</t>
  </si>
  <si>
    <t xml:space="preserve">hsyn-EGFP</t>
  </si>
  <si>
    <t xml:space="preserve">pr-ts91-02</t>
  </si>
  <si>
    <t xml:space="preserve">pr-ts92-01</t>
  </si>
  <si>
    <t xml:space="preserve">pr-ts93-01</t>
  </si>
  <si>
    <t xml:space="preserve">pr-ts94-01</t>
  </si>
  <si>
    <t xml:space="preserve">pr-ts94-02</t>
  </si>
  <si>
    <t xml:space="preserve">pr-ts95-01</t>
  </si>
  <si>
    <t xml:space="preserve">pr-ts96-01</t>
  </si>
  <si>
    <t xml:space="preserve">pr-ts96-02</t>
  </si>
  <si>
    <t xml:space="preserve">pr-ts97-01</t>
  </si>
  <si>
    <t xml:space="preserve">pr-ts97-02</t>
  </si>
  <si>
    <t xml:space="preserve">pr-ts98-01</t>
  </si>
  <si>
    <t xml:space="preserve">pr-ts99-01</t>
  </si>
  <si>
    <t xml:space="preserve">pr-ts100-01</t>
  </si>
  <si>
    <t xml:space="preserve">water intoxication</t>
  </si>
  <si>
    <t xml:space="preserve">pr-ts101-01</t>
  </si>
  <si>
    <t xml:space="preserve">pr-ts102-01</t>
  </si>
  <si>
    <t xml:space="preserve">pr-ts103-01</t>
  </si>
  <si>
    <t xml:space="preserve">pr-ts104-01</t>
  </si>
  <si>
    <t xml:space="preserve">pr-ts105-01</t>
  </si>
  <si>
    <t xml:space="preserve">pr-ts106-01</t>
  </si>
  <si>
    <t xml:space="preserve">Fluometric measurement</t>
  </si>
  <si>
    <t xml:space="preserve">pr-ts107-01</t>
  </si>
  <si>
    <t xml:space="preserve">pr-ts108-01</t>
  </si>
  <si>
    <t xml:space="preserve">PoRTs window</t>
  </si>
  <si>
    <t xml:space="preserve">pr-ts109-01</t>
  </si>
  <si>
    <t xml:space="preserve">Craniotomy</t>
  </si>
  <si>
    <t xml:space="preserve">pr-ts109-02</t>
  </si>
  <si>
    <t xml:space="preserve">pr-ts110-01</t>
  </si>
  <si>
    <t xml:space="preserve">pr-ts111-01</t>
  </si>
  <si>
    <t xml:space="preserve">pr-ts112-01</t>
  </si>
  <si>
    <t xml:space="preserve">pr-ts113-01</t>
  </si>
  <si>
    <t xml:space="preserve">pr-ts114-01</t>
  </si>
  <si>
    <t xml:space="preserve">PoRTs and TIS window</t>
  </si>
  <si>
    <t xml:space="preserve">pr-ts115-01</t>
  </si>
  <si>
    <t xml:space="preserve">pr-ts117-01</t>
  </si>
  <si>
    <t xml:space="preserve">pr-ts118-01</t>
  </si>
  <si>
    <t xml:space="preserve">pr-ts119-01</t>
  </si>
  <si>
    <t xml:space="preserve">pr-ts119-02</t>
  </si>
  <si>
    <t xml:space="preserve">pr-ts120-01</t>
  </si>
  <si>
    <t xml:space="preserve">pr-ts120-02</t>
  </si>
  <si>
    <t xml:space="preserve">pr-ts121-01</t>
  </si>
  <si>
    <t xml:space="preserve">pr-ts122-01</t>
  </si>
  <si>
    <t xml:space="preserve">pr-ts122-02</t>
  </si>
  <si>
    <t xml:space="preserve">pr-ts123-01</t>
  </si>
  <si>
    <t xml:space="preserve">CM injection</t>
  </si>
  <si>
    <t xml:space="preserve">pr-ts123-02</t>
  </si>
  <si>
    <t xml:space="preserve">pr-ts124-01</t>
  </si>
  <si>
    <t xml:space="preserve">pr-ts125-01</t>
  </si>
  <si>
    <t xml:space="preserve">pr-ts126-01</t>
  </si>
  <si>
    <t xml:space="preserve">pr-ts127-01</t>
  </si>
  <si>
    <t xml:space="preserve">pr-ts128-01</t>
  </si>
  <si>
    <t xml:space="preserve">pr-ts129-01</t>
  </si>
  <si>
    <t xml:space="preserve">pr-ts130-01</t>
  </si>
  <si>
    <t xml:space="preserve">Control for dCLN</t>
  </si>
  <si>
    <t xml:space="preserve">pr-ts131-01</t>
  </si>
  <si>
    <t xml:space="preserve">pr-ts132-01</t>
  </si>
  <si>
    <t xml:space="preserve">pr-ts133-01</t>
  </si>
  <si>
    <t xml:space="preserve">pr-ts134-01</t>
  </si>
  <si>
    <t xml:space="preserve">pr-ts135-01</t>
  </si>
  <si>
    <t xml:space="preserve">pr-ts136-01</t>
  </si>
  <si>
    <t xml:space="preserve">pr-ts137-01</t>
  </si>
  <si>
    <t xml:space="preserve">pr-ts138-01</t>
  </si>
  <si>
    <t xml:space="preserve">pr-ts138-02</t>
  </si>
  <si>
    <t xml:space="preserve">pr-ts139-01</t>
  </si>
  <si>
    <t xml:space="preserve">pr-ts139-02</t>
  </si>
  <si>
    <t xml:space="preserve">pr-ts140-01</t>
  </si>
  <si>
    <t xml:space="preserve">pr-ts140-02</t>
  </si>
  <si>
    <t xml:space="preserve">pr-ts141-01</t>
  </si>
  <si>
    <t xml:space="preserve">pr-ts141-02</t>
  </si>
  <si>
    <t xml:space="preserve">pr-ts142-01</t>
  </si>
  <si>
    <t xml:space="preserve">pr-ts143-01</t>
  </si>
  <si>
    <t xml:space="preserve">pr-ts144-01</t>
  </si>
  <si>
    <t xml:space="preserve">pr-ts145-01</t>
  </si>
  <si>
    <t xml:space="preserve">pr-ts146-01</t>
  </si>
  <si>
    <t xml:space="preserve">pr-ts147-01</t>
  </si>
  <si>
    <t xml:space="preserve">pr-ts148-01</t>
  </si>
  <si>
    <t xml:space="preserve">pr-ts149-01</t>
  </si>
  <si>
    <t xml:space="preserve">pr-ts150-01</t>
  </si>
  <si>
    <t xml:space="preserve">pr-ts151-01</t>
  </si>
  <si>
    <t xml:space="preserve">pr-ts152-01</t>
  </si>
  <si>
    <t xml:space="preserve">pr-ts153-01</t>
  </si>
  <si>
    <t xml:space="preserve">pr-ts154-01</t>
  </si>
  <si>
    <t xml:space="preserve">pr-ts155-01</t>
  </si>
  <si>
    <t xml:space="preserve">pr-ts156-01</t>
  </si>
  <si>
    <t xml:space="preserve">pr-ts157-01</t>
  </si>
  <si>
    <t xml:space="preserve">pr-ts158-01</t>
  </si>
  <si>
    <t xml:space="preserve">pr-ts159-01</t>
  </si>
  <si>
    <t xml:space="preserve">pr-ts160-01</t>
  </si>
  <si>
    <t xml:space="preserve">pr-ts161-01</t>
  </si>
  <si>
    <t xml:space="preserve">pr-ts162-01</t>
  </si>
  <si>
    <t xml:space="preserve">pr-ts163-01</t>
  </si>
  <si>
    <t xml:space="preserve">pr-ts164-01</t>
  </si>
  <si>
    <t xml:space="preserve">Tissue clearing</t>
  </si>
  <si>
    <t xml:space="preserve">pr-ts165-01</t>
  </si>
  <si>
    <t xml:space="preserve">pr-ts165-02</t>
  </si>
  <si>
    <t xml:space="preserve">pr-ts166-01</t>
  </si>
  <si>
    <t xml:space="preserve">Femoral vein cathter</t>
  </si>
  <si>
    <t xml:space="preserve">pr-ts167-01</t>
  </si>
  <si>
    <t xml:space="preserve">pr-ts168-01</t>
  </si>
  <si>
    <t xml:space="preserve">pr-ts168-02</t>
  </si>
  <si>
    <t xml:space="preserve">pr-ts169-01</t>
  </si>
  <si>
    <t xml:space="preserve">DB53 test</t>
  </si>
  <si>
    <t xml:space="preserve">pr-ts170-01</t>
  </si>
  <si>
    <t xml:space="preserve">pr-ts171-01</t>
  </si>
  <si>
    <t xml:space="preserve">KX test</t>
  </si>
  <si>
    <t xml:space="preserve">pr-ts172-01</t>
  </si>
  <si>
    <t xml:space="preserve">pr-ts173-01</t>
  </si>
  <si>
    <t xml:space="preserve">pr-ts186-01</t>
  </si>
  <si>
    <t xml:space="preserve">pr-ts187-01</t>
  </si>
  <si>
    <t xml:space="preserve">pr-ts188-01</t>
  </si>
  <si>
    <t xml:space="preserve">pr-ts190-01</t>
  </si>
  <si>
    <t xml:space="preserve">pr-ts191-01</t>
  </si>
  <si>
    <t xml:space="preserve">pr-ts192-01</t>
  </si>
  <si>
    <t xml:space="preserve">pr-ts193-01</t>
  </si>
  <si>
    <t xml:space="preserve">pr-ts194-01</t>
  </si>
  <si>
    <t xml:space="preserve">pr-ts195-01</t>
  </si>
  <si>
    <t xml:space="preserve">pr-ts196-01</t>
  </si>
  <si>
    <t xml:space="preserve">pr-ts197-01</t>
  </si>
  <si>
    <t xml:space="preserve">pr-ts198-01</t>
  </si>
  <si>
    <t xml:space="preserve">pr-ts199-01</t>
  </si>
  <si>
    <t xml:space="preserve">pr-ts200-01</t>
  </si>
  <si>
    <t xml:space="preserve">pr-ts201-01</t>
  </si>
  <si>
    <t xml:space="preserve">pr-ts202-01</t>
  </si>
  <si>
    <t xml:space="preserve">pr-ts203-01</t>
  </si>
  <si>
    <t xml:space="preserve">pr-ts204-01</t>
  </si>
  <si>
    <t xml:space="preserve">pr-ts205-01</t>
  </si>
  <si>
    <t xml:space="preserve">pr-ts206-01</t>
  </si>
  <si>
    <t xml:space="preserve">pr-ts207-01</t>
  </si>
  <si>
    <t xml:space="preserve">pr-ts208-01</t>
  </si>
  <si>
    <t xml:space="preserve">pr-ts209-01</t>
  </si>
  <si>
    <t xml:space="preserve">pr-ts210-01</t>
  </si>
  <si>
    <t xml:space="preserve">pr-ts211-01</t>
  </si>
  <si>
    <t xml:space="preserve">pr-ts212-01</t>
  </si>
  <si>
    <t xml:space="preserve">pr-ts213-01</t>
  </si>
  <si>
    <t xml:space="preserve">pr-ts214-01</t>
  </si>
  <si>
    <t xml:space="preserve">TGN020 test</t>
  </si>
  <si>
    <t xml:space="preserve">pr-ts215-01</t>
  </si>
  <si>
    <t xml:space="preserve">pr-ts216-01</t>
  </si>
  <si>
    <t xml:space="preserve">pr-ts217-01</t>
  </si>
  <si>
    <t xml:space="preserve">pr-ts218-01</t>
  </si>
  <si>
    <t xml:space="preserve">pr-ts219-01</t>
  </si>
  <si>
    <t xml:space="preserve">pr-ts220-01</t>
  </si>
  <si>
    <t xml:space="preserve">pr-ts223-01</t>
  </si>
  <si>
    <t xml:space="preserve">pr-ts224-01</t>
  </si>
  <si>
    <t xml:space="preserve">pr-ts225-01</t>
  </si>
  <si>
    <t xml:space="preserve">pr-ts226-01</t>
  </si>
  <si>
    <t xml:space="preserve">pr-ts227-01</t>
  </si>
  <si>
    <t xml:space="preserve">pr-ts228-01</t>
  </si>
  <si>
    <t xml:space="preserve">Femoral vein catheter test</t>
  </si>
  <si>
    <t xml:space="preserve">pr-ts229-01</t>
  </si>
  <si>
    <t xml:space="preserve">pr-ts230-01</t>
  </si>
  <si>
    <t xml:space="preserve">pr-ts230-02</t>
  </si>
  <si>
    <t xml:space="preserve">pr-ts231-01</t>
  </si>
  <si>
    <t xml:space="preserve">pr-ts232-01</t>
  </si>
  <si>
    <t xml:space="preserve">pr-ts233-01</t>
  </si>
  <si>
    <t xml:space="preserve">pr-ts234-01</t>
  </si>
  <si>
    <t xml:space="preserve">pr-ts235-01</t>
  </si>
  <si>
    <t xml:space="preserve">Ventricle cathter test</t>
  </si>
  <si>
    <t xml:space="preserve">pr-ts236-01</t>
  </si>
  <si>
    <t xml:space="preserve">pr-ts237-01</t>
  </si>
  <si>
    <t xml:space="preserve">pr-ts238-01</t>
  </si>
  <si>
    <t xml:space="preserve">pr-ts239-01</t>
  </si>
  <si>
    <t xml:space="preserve">pr-ts240-01</t>
  </si>
  <si>
    <t xml:space="preserve">pr-ts241-01</t>
  </si>
  <si>
    <t xml:space="preserve">pr-ts242-01</t>
  </si>
  <si>
    <t xml:space="preserve">pr-ts243-01</t>
  </si>
  <si>
    <t xml:space="preserve">Intraventricle injection of Rh</t>
  </si>
  <si>
    <t xml:space="preserve">pr-ts243-02</t>
  </si>
  <si>
    <t xml:space="preserve">pr-ts244-01</t>
  </si>
  <si>
    <t xml:space="preserve">pr-ts245-01</t>
  </si>
  <si>
    <t xml:space="preserve">pr-ts246-01</t>
  </si>
  <si>
    <t xml:space="preserve">pr-ts247-01</t>
  </si>
  <si>
    <t xml:space="preserve">pr-ts248-01</t>
  </si>
  <si>
    <t xml:space="preserve">pr-ts249-01</t>
  </si>
  <si>
    <t xml:space="preserve">pr-ts250-01</t>
  </si>
  <si>
    <t xml:space="preserve">pr-ts251-01</t>
  </si>
  <si>
    <t xml:space="preserve">pr-ts252-01</t>
  </si>
  <si>
    <t xml:space="preserve">pr-ts252-02</t>
  </si>
  <si>
    <t xml:space="preserve">pr-ts253-01</t>
  </si>
  <si>
    <t xml:space="preserve">pr-ts253-02</t>
  </si>
  <si>
    <t xml:space="preserve">pr-ts254-01</t>
  </si>
  <si>
    <t xml:space="preserve">AAV-AST CMVenhancer-hGfaABC1D-GFP-Wpre</t>
  </si>
  <si>
    <t xml:space="preserve">AAV-AST test</t>
  </si>
  <si>
    <t xml:space="preserve">pr-ts254-02</t>
  </si>
  <si>
    <t xml:space="preserve">pr-ts255-01</t>
  </si>
  <si>
    <t xml:space="preserve">AAV-AST2: CMVenhancer-hGfaABC1D-GFP-Wpre</t>
  </si>
  <si>
    <t xml:space="preserve">pr-ts256-01</t>
  </si>
  <si>
    <t xml:space="preserve">AAV-AST2: mGfaABC1D-mCherry-Wpre</t>
  </si>
  <si>
    <t xml:space="preserve">pr-ts257-01</t>
  </si>
  <si>
    <t xml:space="preserve">pr-ts257-02</t>
  </si>
  <si>
    <t xml:space="preserve">pr-ts258-01</t>
  </si>
  <si>
    <t xml:space="preserve">ear</t>
  </si>
  <si>
    <t xml:space="preserve">pr-ts259-01</t>
  </si>
  <si>
    <t xml:space="preserve">pr-ts260-01</t>
  </si>
  <si>
    <t xml:space="preserve">pr-ts262-01</t>
  </si>
  <si>
    <t xml:space="preserve">pr-ts263-01</t>
  </si>
  <si>
    <t xml:space="preserve">pr-ts264-01</t>
  </si>
  <si>
    <t xml:space="preserve">jagular vein test</t>
  </si>
  <si>
    <t xml:space="preserve">pr-ts264-02</t>
  </si>
  <si>
    <t xml:space="preserve">pr-ts265-01</t>
  </si>
  <si>
    <t xml:space="preserve">pr-ts265-02</t>
  </si>
  <si>
    <t xml:space="preserve">pr-ts266-01</t>
  </si>
  <si>
    <t xml:space="preserve">pr-ts266-02</t>
  </si>
  <si>
    <t xml:space="preserve">pr-ts267-01</t>
  </si>
  <si>
    <t xml:space="preserve">pr-ts268-01</t>
  </si>
  <si>
    <t xml:space="preserve">Fix test</t>
  </si>
  <si>
    <t xml:space="preserve">pr-ts269-01</t>
  </si>
  <si>
    <t xml:space="preserve">pr-ts269-02</t>
  </si>
  <si>
    <t xml:space="preserve">pr-ts270-01</t>
  </si>
  <si>
    <t xml:space="preserve">pr-ts271-01</t>
  </si>
  <si>
    <t xml:space="preserve">pr-ts272-01</t>
  </si>
  <si>
    <t xml:space="preserve">pr-ts273-01</t>
  </si>
  <si>
    <t xml:space="preserve">pr-ts274-01</t>
  </si>
  <si>
    <t xml:space="preserve">chamber</t>
  </si>
  <si>
    <t xml:space="preserve">pr-ts275-01</t>
  </si>
  <si>
    <t xml:space="preserve">pr-ts275-02</t>
  </si>
  <si>
    <t xml:space="preserve">pr-ts276-01</t>
  </si>
  <si>
    <t xml:space="preserve">pr-ts276-02</t>
  </si>
  <si>
    <t xml:space="preserve">pr-ts277-01</t>
  </si>
  <si>
    <t xml:space="preserve">pr-ts277-02</t>
  </si>
  <si>
    <t xml:space="preserve">pr-ts278-01</t>
  </si>
  <si>
    <t xml:space="preserve">pr-ts278-02</t>
  </si>
  <si>
    <t xml:space="preserve">pr-ts279-01</t>
  </si>
  <si>
    <t xml:space="preserve">pr-ts279-02</t>
  </si>
  <si>
    <t xml:space="preserve">pr-ts280-01</t>
  </si>
  <si>
    <t xml:space="preserve">ear imaging</t>
  </si>
  <si>
    <t xml:space="preserve">pr-ts281-01</t>
  </si>
  <si>
    <t xml:space="preserve">pr-ts282-01</t>
  </si>
  <si>
    <t xml:space="preserve">pr-ts283-01</t>
  </si>
  <si>
    <t xml:space="preserve">pr-ts284-01</t>
  </si>
  <si>
    <t xml:space="preserve">pr-ts285-01</t>
  </si>
  <si>
    <t xml:space="preserve">pr-ts288-01</t>
  </si>
  <si>
    <t xml:space="preserve">pr-ts289-01</t>
  </si>
  <si>
    <t xml:space="preserve">pr-sk1-01</t>
  </si>
  <si>
    <t xml:space="preserve">head plate</t>
  </si>
  <si>
    <t xml:space="preserve">pr-sk2-01</t>
  </si>
  <si>
    <t xml:space="preserve">pr-sk2-02</t>
  </si>
  <si>
    <t xml:space="preserve">pr-sk3-01</t>
  </si>
  <si>
    <r>
      <rPr>
        <sz val="11"/>
        <rFont val="Arial"/>
        <family val="0"/>
        <charset val="1"/>
      </rPr>
      <t xml:space="preserve">window</t>
    </r>
    <r>
      <rPr>
        <sz val="11"/>
        <rFont val="Noto Sans CJK SC"/>
        <family val="2"/>
      </rPr>
      <t xml:space="preserve">つけ</t>
    </r>
  </si>
  <si>
    <t xml:space="preserve">pr-sk4-01</t>
  </si>
  <si>
    <t xml:space="preserve">pr-sk5-01</t>
  </si>
  <si>
    <t xml:space="preserve">pr-sk6-01</t>
  </si>
  <si>
    <t xml:space="preserve">pr-sk7-01</t>
  </si>
  <si>
    <t xml:space="preserve">pr-sk8-01</t>
  </si>
  <si>
    <t xml:space="preserve">pr-sk9-01</t>
  </si>
  <si>
    <t xml:space="preserve">pr-sk10-01</t>
  </si>
  <si>
    <t xml:space="preserve">pr-sk11-01</t>
  </si>
  <si>
    <t xml:space="preserve">injection test</t>
  </si>
  <si>
    <t xml:space="preserve">pr-sk12-01</t>
  </si>
  <si>
    <t xml:space="preserve">pr-sk13-01</t>
  </si>
  <si>
    <t xml:space="preserve">pr-sk14-01</t>
  </si>
  <si>
    <t xml:space="preserve">AAV1-hSyn-soma-GCamp8s</t>
  </si>
  <si>
    <t xml:space="preserve">aav injection</t>
  </si>
  <si>
    <t xml:space="preserve">pr-sk15-01</t>
  </si>
  <si>
    <t xml:space="preserve">pr-sk16-01</t>
  </si>
  <si>
    <t xml:space="preserve">AAV1-hSyn-soma-GCamp8s(1/3)</t>
  </si>
  <si>
    <t xml:space="preserve">pr-sk17-01</t>
  </si>
  <si>
    <t xml:space="preserve">pr-sk18-01</t>
  </si>
  <si>
    <t xml:space="preserve">大槽内投与</t>
  </si>
  <si>
    <t xml:space="preserve">pr-sk19-01</t>
  </si>
  <si>
    <t xml:space="preserve">pr-sk20-01</t>
  </si>
  <si>
    <t xml:space="preserve">pr-sk21-01</t>
  </si>
  <si>
    <t xml:space="preserve">pr-sk22-01</t>
  </si>
  <si>
    <t xml:space="preserve">pr-sk23-01</t>
  </si>
  <si>
    <t xml:space="preserve">pr-sk24-01</t>
  </si>
  <si>
    <t xml:space="preserve">pr-sk25-01</t>
  </si>
  <si>
    <t xml:space="preserve">pr-sk26-01</t>
  </si>
  <si>
    <t xml:space="preserve">pr-sk27-01</t>
  </si>
  <si>
    <t xml:space="preserve">pr-sk28-01</t>
  </si>
  <si>
    <t xml:space="preserve">pr-sk29-01</t>
  </si>
  <si>
    <t xml:space="preserve">pr-sk30-01</t>
  </si>
  <si>
    <t xml:space="preserve">pr-sk31-01</t>
  </si>
  <si>
    <t xml:space="preserve">pr-sk32-01</t>
  </si>
  <si>
    <t xml:space="preserve">pr-sk33-01</t>
  </si>
  <si>
    <t xml:space="preserve">pr-sk34-01</t>
  </si>
  <si>
    <t xml:space="preserve">cranial window implantation</t>
  </si>
  <si>
    <t xml:space="preserve">pr-sk35-01</t>
  </si>
  <si>
    <t xml:space="preserve">pr-sk36-01</t>
  </si>
  <si>
    <t xml:space="preserve">mating_id</t>
  </si>
  <si>
    <t xml:space="preserve">sire_id</t>
  </si>
  <si>
    <t xml:space="preserve">dam_id</t>
  </si>
  <si>
    <t xml:space="preserve">pair_start_date</t>
  </si>
  <si>
    <t xml:space="preserve">litter_dob</t>
  </si>
  <si>
    <t xml:space="preserve">n_pups</t>
  </si>
  <si>
    <t xml:space="preserve">n_male</t>
  </si>
  <si>
    <t xml:space="preserve">n_female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</si>
</sst>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7F6"/>
      </patternFill>
    </fill>
    <fill>
      <patternFill patternType="solid">
        <fgColor rgb="FFEDE7F6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6"/>
    <col collapsed="false" customWidth="true" hidden="false" outlineLevel="0" max="6" min="5" style="0" width="10"/>
  </cols>
  <sheetData>
    <row r="1" customFormat="false" ht="19.4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tr">
        <f aca="false">lines!A2</f>
        <v>wt</v>
      </c>
      <c r="B4" s="4" t="n">
        <f aca="false">COUNTIF(colony!$B:$B,A4)</f>
        <v>192</v>
      </c>
      <c r="C4" s="4" t="n">
        <f aca="false">SUMPRODUCT(MAX((colony!$B$2:$B$3000=A4)*colony!$C$2:$C$3000))</f>
        <v>192</v>
      </c>
      <c r="D4" s="5" t="str">
        <f aca="false">IF(A4="","",A4&amp;"-"&amp;(C4+1))</f>
        <v>wt-193</v>
      </c>
      <c r="E4" s="5" t="n">
        <f aca="true">IF(SUMPRODUCT(MAX((colony!$B$2:$B$3000=A4)*(colony!$D$2:$D$3000="M")*(colony!$R$2:$R$3000&lt;&gt;"sacrificed")*(colony!$R$2:$R$3000&lt;&gt;"dead")*(colony!$R$2:$R$3000&lt;&gt;"transferred")*(colony!$R$2:$R$3000&lt;&gt;"missing")*colony!$E$2:$E$3000))=0,"-",ROUND((TODAY()-SUMPRODUCT(MAX((colony!$B$2:$B$3000=A4)*(colony!$D$2:$D$3000="M")*(colony!$R$2:$R$3000&lt;&gt;"sacrificed")*(colony!$R$2:$R$3000&lt;&gt;"dead")*(colony!$R$2:$R$3000&lt;&gt;"transferred")*(colony!$R$2:$R$3000&lt;&gt;"missing")*colony!$E$2:$E$3000)))/7,1))</f>
        <v>8.6</v>
      </c>
      <c r="F4" s="5" t="n">
        <f aca="true">IF(SUMPRODUCT(MAX((colony!$B$2:$B$3000=A4)*(colony!$D$2:$D$3000="F")*(colony!$R$2:$R$3000&lt;&gt;"sacrificed")*(colony!$R$2:$R$3000&lt;&gt;"dead")*(colony!$R$2:$R$3000&lt;&gt;"transferred")*(colony!$R$2:$R$3000&lt;&gt;"missing")*colony!$E$2:$E$3000))=0,"-",ROUND((TODAY()-SUMPRODUCT(MAX((colony!$B$2:$B$3000=A4)*(colony!$D$2:$D$3000="F")*(colony!$R$2:$R$3000&lt;&gt;"sacrificed")*(colony!$R$2:$R$3000&lt;&gt;"dead")*(colony!$R$2:$R$3000&lt;&gt;"transferred")*(colony!$R$2:$R$3000&lt;&gt;"missing")*colony!$E$2:$E$3000)))/7,1))</f>
        <v>15.6</v>
      </c>
    </row>
    <row r="5" customFormat="false" ht="15" hidden="false" customHeight="false" outlineLevel="0" collapsed="false">
      <c r="A5" s="4" t="str">
        <f aca="false">lines!A3</f>
        <v>aqp4ko</v>
      </c>
      <c r="B5" s="4" t="n">
        <f aca="false">COUNTIF(colony!$B:$B,A5)</f>
        <v>121</v>
      </c>
      <c r="C5" s="4" t="n">
        <f aca="false">SUMPRODUCT(MAX((colony!$B$2:$B$3000=A5)*colony!$C$2:$C$3000))</f>
        <v>121</v>
      </c>
      <c r="D5" s="5" t="str">
        <f aca="false">IF(A5="","",A5&amp;"-"&amp;(C5+1))</f>
        <v>aqp4ko-122</v>
      </c>
      <c r="E5" s="5" t="n">
        <f aca="true">IF(SUMPRODUCT(MAX((colony!$B$2:$B$3000=A5)*(colony!$D$2:$D$3000="M")*(colony!$R$2:$R$3000&lt;&gt;"sacrificed")*(colony!$R$2:$R$3000&lt;&gt;"dead")*(colony!$R$2:$R$3000&lt;&gt;"transferred")*(colony!$R$2:$R$3000&lt;&gt;"missing")*colony!$E$2:$E$3000))=0,"-",ROUND((TODAY()-SUMPRODUCT(MAX((colony!$B$2:$B$3000=A5)*(colony!$D$2:$D$3000="M")*(colony!$R$2:$R$3000&lt;&gt;"sacrificed")*(colony!$R$2:$R$3000&lt;&gt;"dead")*(colony!$R$2:$R$3000&lt;&gt;"transferred")*(colony!$R$2:$R$3000&lt;&gt;"missing")*colony!$E$2:$E$3000)))/7,1))</f>
        <v>19</v>
      </c>
      <c r="F5" s="5" t="n">
        <f aca="true">IF(SUMPRODUCT(MAX((colony!$B$2:$B$3000=A5)*(colony!$D$2:$D$3000="F")*(colony!$R$2:$R$3000&lt;&gt;"sacrificed")*(colony!$R$2:$R$3000&lt;&gt;"dead")*(colony!$R$2:$R$3000&lt;&gt;"transferred")*(colony!$R$2:$R$3000&lt;&gt;"missing")*colony!$E$2:$E$3000))=0,"-",ROUND((TODAY()-SUMPRODUCT(MAX((colony!$B$2:$B$3000=A5)*(colony!$D$2:$D$3000="F")*(colony!$R$2:$R$3000&lt;&gt;"sacrificed")*(colony!$R$2:$R$3000&lt;&gt;"dead")*(colony!$R$2:$R$3000&lt;&gt;"transferred")*(colony!$R$2:$R$3000&lt;&gt;"missing")*colony!$E$2:$E$3000)))/7,1))</f>
        <v>19</v>
      </c>
    </row>
    <row r="6" customFormat="false" ht="15" hidden="false" customHeight="false" outlineLevel="0" collapsed="false">
      <c r="A6" s="4" t="str">
        <f aca="false">lines!A4</f>
        <v>cagegfp</v>
      </c>
      <c r="B6" s="4" t="n">
        <f aca="false">COUNTIF(colony!$B:$B,A6)</f>
        <v>150</v>
      </c>
      <c r="C6" s="4" t="n">
        <f aca="false">SUMPRODUCT(MAX((colony!$B$2:$B$3000=A6)*colony!$C$2:$C$3000))</f>
        <v>150</v>
      </c>
      <c r="D6" s="5" t="str">
        <f aca="false">IF(A6="","",A6&amp;"-"&amp;(C6+1))</f>
        <v>cagegfp-151</v>
      </c>
      <c r="E6" s="5" t="n">
        <f aca="true">IF(SUMPRODUCT(MAX((colony!$B$2:$B$3000=A6)*(colony!$D$2:$D$3000="M")*(colony!$R$2:$R$3000&lt;&gt;"sacrificed")*(colony!$R$2:$R$3000&lt;&gt;"dead")*(colony!$R$2:$R$3000&lt;&gt;"transferred")*(colony!$R$2:$R$3000&lt;&gt;"missing")*colony!$E$2:$E$3000))=0,"-",ROUND((TODAY()-SUMPRODUCT(MAX((colony!$B$2:$B$3000=A6)*(colony!$D$2:$D$3000="M")*(colony!$R$2:$R$3000&lt;&gt;"sacrificed")*(colony!$R$2:$R$3000&lt;&gt;"dead")*(colony!$R$2:$R$3000&lt;&gt;"transferred")*(colony!$R$2:$R$3000&lt;&gt;"missing")*colony!$E$2:$E$3000)))/7,1))</f>
        <v>17.1</v>
      </c>
      <c r="F6" s="5" t="n">
        <f aca="true">IF(SUMPRODUCT(MAX((colony!$B$2:$B$3000=A6)*(colony!$D$2:$D$3000="F")*(colony!$R$2:$R$3000&lt;&gt;"sacrificed")*(colony!$R$2:$R$3000&lt;&gt;"dead")*(colony!$R$2:$R$3000&lt;&gt;"transferred")*(colony!$R$2:$R$3000&lt;&gt;"missing")*colony!$E$2:$E$3000))=0,"-",ROUND((TODAY()-SUMPRODUCT(MAX((colony!$B$2:$B$3000=A6)*(colony!$D$2:$D$3000="F")*(colony!$R$2:$R$3000&lt;&gt;"sacrificed")*(colony!$R$2:$R$3000&lt;&gt;"dead")*(colony!$R$2:$R$3000&lt;&gt;"transferred")*(colony!$R$2:$R$3000&lt;&gt;"missing")*colony!$E$2:$E$3000)))/7,1))</f>
        <v>25.4</v>
      </c>
    </row>
    <row r="7" customFormat="false" ht="15" hidden="false" customHeight="false" outlineLevel="0" collapsed="false">
      <c r="A7" s="4" t="str">
        <f aca="false">lines!A5</f>
        <v>cagegfp_aqp4ko</v>
      </c>
      <c r="B7" s="4" t="n">
        <f aca="false">COUNTIF(colony!$B:$B,A7)</f>
        <v>121</v>
      </c>
      <c r="C7" s="4" t="n">
        <f aca="false">SUMPRODUCT(MAX((colony!$B$2:$B$3000=A7)*colony!$C$2:$C$3000))</f>
        <v>121</v>
      </c>
      <c r="D7" s="5" t="str">
        <f aca="false">IF(A7="","",A7&amp;"-"&amp;(C7+1))</f>
        <v>cagegfp_aqp4ko-122</v>
      </c>
      <c r="E7" s="5" t="n">
        <f aca="true">IF(SUMPRODUCT(MAX((colony!$B$2:$B$3000=A7)*(colony!$D$2:$D$3000="M")*(colony!$R$2:$R$3000&lt;&gt;"sacrificed")*(colony!$R$2:$R$3000&lt;&gt;"dead")*(colony!$R$2:$R$3000&lt;&gt;"transferred")*(colony!$R$2:$R$3000&lt;&gt;"missing")*colony!$E$2:$E$3000))=0,"-",ROUND((TODAY()-SUMPRODUCT(MAX((colony!$B$2:$B$3000=A7)*(colony!$D$2:$D$3000="M")*(colony!$R$2:$R$3000&lt;&gt;"sacrificed")*(colony!$R$2:$R$3000&lt;&gt;"dead")*(colony!$R$2:$R$3000&lt;&gt;"transferred")*(colony!$R$2:$R$3000&lt;&gt;"missing")*colony!$E$2:$E$3000)))/7,1))</f>
        <v>13.7</v>
      </c>
      <c r="F7" s="5" t="n">
        <f aca="true">IF(SUMPRODUCT(MAX((colony!$B$2:$B$3000=A7)*(colony!$D$2:$D$3000="F")*(colony!$R$2:$R$3000&lt;&gt;"sacrificed")*(colony!$R$2:$R$3000&lt;&gt;"dead")*(colony!$R$2:$R$3000&lt;&gt;"transferred")*(colony!$R$2:$R$3000&lt;&gt;"missing")*colony!$E$2:$E$3000))=0,"-",ROUND((TODAY()-SUMPRODUCT(MAX((colony!$B$2:$B$3000=A7)*(colony!$D$2:$D$3000="F")*(colony!$R$2:$R$3000&lt;&gt;"sacrificed")*(colony!$R$2:$R$3000&lt;&gt;"dead")*(colony!$R$2:$R$3000&lt;&gt;"transferred")*(colony!$R$2:$R$3000&lt;&gt;"missing")*colony!$E$2:$E$3000)))/7,1))</f>
        <v>13.7</v>
      </c>
    </row>
    <row r="8" customFormat="false" ht="15" hidden="false" customHeight="false" outlineLevel="0" collapsed="false">
      <c r="A8" s="4" t="str">
        <f aca="false">lines!A6</f>
        <v>5xfad</v>
      </c>
      <c r="B8" s="4" t="n">
        <f aca="false">COUNTIF(colony!$B:$B,A8)</f>
        <v>138</v>
      </c>
      <c r="C8" s="4" t="n">
        <f aca="false">SUMPRODUCT(MAX((colony!$B$2:$B$3000=A8)*colony!$C$2:$C$3000))</f>
        <v>138</v>
      </c>
      <c r="D8" s="5" t="str">
        <f aca="false">IF(A8="","",A8&amp;"-"&amp;(C8+1))</f>
        <v>5xfad-139</v>
      </c>
      <c r="E8" s="5" t="n">
        <f aca="true">IF(SUMPRODUCT(MAX((colony!$B$2:$B$3000=A8)*(colony!$D$2:$D$3000="M")*(colony!$R$2:$R$3000&lt;&gt;"sacrificed")*(colony!$R$2:$R$3000&lt;&gt;"dead")*(colony!$R$2:$R$3000&lt;&gt;"transferred")*(colony!$R$2:$R$3000&lt;&gt;"missing")*colony!$E$2:$E$3000))=0,"-",ROUND((TODAY()-SUMPRODUCT(MAX((colony!$B$2:$B$3000=A8)*(colony!$D$2:$D$3000="M")*(colony!$R$2:$R$3000&lt;&gt;"sacrificed")*(colony!$R$2:$R$3000&lt;&gt;"dead")*(colony!$R$2:$R$3000&lt;&gt;"transferred")*(colony!$R$2:$R$3000&lt;&gt;"missing")*colony!$E$2:$E$3000)))/7,1))</f>
        <v>34.1</v>
      </c>
      <c r="F8" s="5" t="n">
        <f aca="true">IF(SUMPRODUCT(MAX((colony!$B$2:$B$3000=A8)*(colony!$D$2:$D$3000="F")*(colony!$R$2:$R$3000&lt;&gt;"sacrificed")*(colony!$R$2:$R$3000&lt;&gt;"dead")*(colony!$R$2:$R$3000&lt;&gt;"transferred")*(colony!$R$2:$R$3000&lt;&gt;"missing")*colony!$E$2:$E$3000))=0,"-",ROUND((TODAY()-SUMPRODUCT(MAX((colony!$B$2:$B$3000=A8)*(colony!$D$2:$D$3000="F")*(colony!$R$2:$R$3000&lt;&gt;"sacrificed")*(colony!$R$2:$R$3000&lt;&gt;"dead")*(colony!$R$2:$R$3000&lt;&gt;"transferred")*(colony!$R$2:$R$3000&lt;&gt;"missing")*colony!$E$2:$E$3000)))/7,1))</f>
        <v>34.1</v>
      </c>
    </row>
    <row r="9" customFormat="false" ht="15" hidden="false" customHeight="false" outlineLevel="0" collapsed="false">
      <c r="A9" s="4" t="str">
        <f aca="false">lines!A7</f>
        <v>5xfad_aqp4ko</v>
      </c>
      <c r="B9" s="4" t="n">
        <f aca="false">COUNTIF(colony!$B:$B,A9)</f>
        <v>99</v>
      </c>
      <c r="C9" s="4" t="n">
        <f aca="false">SUMPRODUCT(MAX((colony!$B$2:$B$3000=A9)*colony!$C$2:$C$3000))</f>
        <v>99</v>
      </c>
      <c r="D9" s="5" t="str">
        <f aca="false">IF(A9="","",A9&amp;"-"&amp;(C9+1))</f>
        <v>5xfad_aqp4ko-100</v>
      </c>
      <c r="E9" s="5" t="n">
        <f aca="true">IF(SUMPRODUCT(MAX((colony!$B$2:$B$3000=A9)*(colony!$D$2:$D$3000="M")*(colony!$R$2:$R$3000&lt;&gt;"sacrificed")*(colony!$R$2:$R$3000&lt;&gt;"dead")*(colony!$R$2:$R$3000&lt;&gt;"transferred")*(colony!$R$2:$R$3000&lt;&gt;"missing")*colony!$E$2:$E$3000))=0,"-",ROUND((TODAY()-SUMPRODUCT(MAX((colony!$B$2:$B$3000=A9)*(colony!$D$2:$D$3000="M")*(colony!$R$2:$R$3000&lt;&gt;"sacrificed")*(colony!$R$2:$R$3000&lt;&gt;"dead")*(colony!$R$2:$R$3000&lt;&gt;"transferred")*(colony!$R$2:$R$3000&lt;&gt;"missing")*colony!$E$2:$E$3000)))/7,1))</f>
        <v>34</v>
      </c>
      <c r="F9" s="5" t="n">
        <f aca="true">IF(SUMPRODUCT(MAX((colony!$B$2:$B$3000=A9)*(colony!$D$2:$D$3000="F")*(colony!$R$2:$R$3000&lt;&gt;"sacrificed")*(colony!$R$2:$R$3000&lt;&gt;"dead")*(colony!$R$2:$R$3000&lt;&gt;"transferred")*(colony!$R$2:$R$3000&lt;&gt;"missing")*colony!$E$2:$E$3000))=0,"-",ROUND((TODAY()-SUMPRODUCT(MAX((colony!$B$2:$B$3000=A9)*(colony!$D$2:$D$3000="F")*(colony!$R$2:$R$3000&lt;&gt;"sacrificed")*(colony!$R$2:$R$3000&lt;&gt;"dead")*(colony!$R$2:$R$3000&lt;&gt;"transferred")*(colony!$R$2:$R$3000&lt;&gt;"missing")*colony!$E$2:$E$3000)))/7,1))</f>
        <v>34</v>
      </c>
    </row>
    <row r="11" customFormat="false" ht="17.15" hidden="false" customHeight="false" outlineLevel="0" collapsed="false">
      <c r="A11" s="3" t="s">
        <v>7</v>
      </c>
      <c r="B11" s="2" t="s">
        <v>8</v>
      </c>
      <c r="C11" s="3" t="s">
        <v>9</v>
      </c>
      <c r="D11" s="3" t="s">
        <v>10</v>
      </c>
    </row>
    <row r="12" customFormat="false" ht="15" hidden="false" customHeight="false" outlineLevel="0" collapsed="false">
      <c r="A12" s="4" t="s">
        <v>11</v>
      </c>
      <c r="B12" s="4" t="n">
        <f aca="false">SUMPRODUCT((LEFT(animals!$A$2:$A$600,2)=A12)*1)</f>
        <v>300</v>
      </c>
      <c r="C12" s="4" t="n">
        <f aca="false">SUMPRODUCT(MAX((LEFT(animals!$A$2:$A$600,2)=A12)*IFERROR(VALUE(MID(animals!$A$2:$A$600,3,9)),0)))</f>
        <v>300</v>
      </c>
      <c r="D12" s="5" t="str">
        <f aca="false">A12&amp;(C12+1)</f>
        <v>ts301</v>
      </c>
    </row>
    <row r="13" customFormat="false" ht="15" hidden="false" customHeight="false" outlineLevel="0" collapsed="false">
      <c r="A13" s="4" t="s">
        <v>12</v>
      </c>
      <c r="B13" s="4" t="n">
        <f aca="false">SUMPRODUCT((LEFT(animals!$A$2:$A$600,2)=A13)*1)</f>
        <v>100</v>
      </c>
      <c r="C13" s="4" t="n">
        <f aca="false">SUMPRODUCT(MAX((LEFT(animals!$A$2:$A$600,2)=A13)*IFERROR(VALUE(MID(animals!$A$2:$A$600,3,9)),0)))</f>
        <v>100</v>
      </c>
      <c r="D13" s="5" t="str">
        <f aca="false">A13&amp;(C13+1)</f>
        <v>sk101</v>
      </c>
    </row>
    <row r="16" customFormat="false" ht="17.15" hidden="false" customHeight="false" outlineLevel="0" collapsed="false">
      <c r="A16" s="4" t="s">
        <v>13</v>
      </c>
      <c r="B16" s="4" t="n">
        <f aca="false">COUNTA(colony!$A$2:$A$3000)</f>
        <v>821</v>
      </c>
    </row>
    <row r="17" customFormat="false" ht="15" hidden="false" customHeight="false" outlineLevel="0" collapsed="false">
      <c r="A17" s="4" t="s">
        <v>14</v>
      </c>
      <c r="B17" s="4" t="n">
        <f aca="false">COUNTIF(colony!$R:$R,"alive")</f>
        <v>159</v>
      </c>
    </row>
    <row r="18" customFormat="false" ht="15" hidden="false" customHeight="false" outlineLevel="0" collapsed="false">
      <c r="A18" s="4" t="s">
        <v>15</v>
      </c>
      <c r="B18" s="4" t="n">
        <f aca="false">COUNTIF(colony!$Q:$Q,"pending")</f>
        <v>67</v>
      </c>
    </row>
    <row r="19" customFormat="false" ht="15" hidden="false" customHeight="false" outlineLevel="0" collapsed="false">
      <c r="A19" s="4" t="s">
        <v>16</v>
      </c>
      <c r="B19" s="4" t="n">
        <f aca="false">COUNTA(animals!$A$2:$A$600)</f>
        <v>400</v>
      </c>
    </row>
    <row r="20" customFormat="false" ht="17.15" hidden="false" customHeight="false" outlineLevel="0" collapsed="false">
      <c r="A20" s="4" t="s">
        <v>17</v>
      </c>
      <c r="B20" s="4" t="n">
        <f aca="false">COUNTA(enrollments!$A$2:$A$500)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24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14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11</v>
      </c>
    </row>
    <row r="3" customFormat="false" ht="15" hidden="false" customHeight="false" outlineLevel="0" collapsed="false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12</v>
      </c>
    </row>
    <row r="4" customFormat="false" ht="15" hidden="false" customHeight="fals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H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</row>
    <row r="5" customFormat="false" ht="15" hidden="false" customHeight="false" outlineLevel="0" collapsed="false"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H5" s="4" t="s">
        <v>77</v>
      </c>
      <c r="J5" s="4" t="s">
        <v>78</v>
      </c>
      <c r="K5" s="4" t="s">
        <v>79</v>
      </c>
      <c r="L5" s="4" t="s">
        <v>80</v>
      </c>
      <c r="N5" s="4" t="s">
        <v>81</v>
      </c>
    </row>
    <row r="6" customFormat="false" ht="15" hidden="false" customHeight="false" outlineLevel="0" collapsed="false">
      <c r="B6" s="4" t="s">
        <v>82</v>
      </c>
      <c r="C6" s="4" t="s">
        <v>83</v>
      </c>
      <c r="D6" s="4" t="s">
        <v>84</v>
      </c>
      <c r="J6" s="4" t="s">
        <v>85</v>
      </c>
      <c r="K6" s="4" t="s">
        <v>86</v>
      </c>
      <c r="L6" s="4" t="s">
        <v>81</v>
      </c>
    </row>
    <row r="7" customFormat="false" ht="15" hidden="false" customHeight="false" outlineLevel="0" collapsed="false">
      <c r="C7" s="4" t="s">
        <v>82</v>
      </c>
      <c r="D7" s="4" t="s">
        <v>66</v>
      </c>
      <c r="J7" s="4" t="s">
        <v>87</v>
      </c>
      <c r="K7" s="4" t="s">
        <v>45</v>
      </c>
    </row>
    <row r="8" customFormat="false" ht="15" hidden="false" customHeight="false" outlineLevel="0" collapsed="false">
      <c r="D8" s="4" t="s">
        <v>88</v>
      </c>
      <c r="J8" s="4" t="s">
        <v>89</v>
      </c>
    </row>
    <row r="9" customFormat="false" ht="15" hidden="false" customHeight="false" outlineLevel="0" collapsed="false">
      <c r="D9" s="4" t="s">
        <v>90</v>
      </c>
      <c r="J9" s="4" t="s">
        <v>91</v>
      </c>
    </row>
    <row r="10" customFormat="false" ht="15" hidden="false" customHeight="false" outlineLevel="0" collapsed="false">
      <c r="D10" s="4" t="s">
        <v>92</v>
      </c>
      <c r="J10" s="4" t="s">
        <v>93</v>
      </c>
    </row>
    <row r="11" customFormat="false" ht="15" hidden="false" customHeight="false" outlineLevel="0" collapsed="false">
      <c r="D11" s="4" t="s">
        <v>94</v>
      </c>
      <c r="J11" s="4" t="s">
        <v>95</v>
      </c>
    </row>
    <row r="12" customFormat="false" ht="15" hidden="false" customHeight="false" outlineLevel="0" collapsed="false">
      <c r="J12" s="4" t="s">
        <v>96</v>
      </c>
    </row>
    <row r="13" customFormat="false" ht="15" hidden="false" customHeight="false" outlineLevel="0" collapsed="false">
      <c r="J13" s="4" t="s">
        <v>97</v>
      </c>
    </row>
    <row r="14" customFormat="false" ht="15" hidden="false" customHeight="false" outlineLevel="0" collapsed="false">
      <c r="J14" s="4" t="s">
        <v>98</v>
      </c>
    </row>
    <row r="15" customFormat="false" ht="15" hidden="false" customHeight="false" outlineLevel="0" collapsed="false">
      <c r="J15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4" hidden="false" customHeight="true" outlineLevel="0" collapsed="false">
      <c r="A1" s="6" t="s">
        <v>1</v>
      </c>
      <c r="B1" s="6" t="s">
        <v>99</v>
      </c>
      <c r="C1" s="6" t="s">
        <v>100</v>
      </c>
      <c r="D1" s="6" t="s">
        <v>101</v>
      </c>
      <c r="E1" s="6" t="s">
        <v>24</v>
      </c>
      <c r="F1" s="6" t="s">
        <v>102</v>
      </c>
      <c r="G1" s="6" t="s">
        <v>103</v>
      </c>
    </row>
    <row r="2" customFormat="false" ht="15" hidden="false" customHeight="false" outlineLevel="0" collapsed="false">
      <c r="A2" s="7" t="s">
        <v>104</v>
      </c>
      <c r="B2" s="8" t="s">
        <v>105</v>
      </c>
      <c r="C2" s="8" t="s">
        <v>35</v>
      </c>
      <c r="D2" s="8" t="s">
        <v>106</v>
      </c>
      <c r="E2" s="8" t="s">
        <v>52</v>
      </c>
      <c r="F2" s="8"/>
      <c r="G2" s="8" t="s">
        <v>107</v>
      </c>
    </row>
    <row r="3" customFormat="false" ht="15" hidden="false" customHeight="false" outlineLevel="0" collapsed="false">
      <c r="A3" s="7" t="s">
        <v>108</v>
      </c>
      <c r="B3" s="8" t="s">
        <v>109</v>
      </c>
      <c r="C3" s="8" t="s">
        <v>110</v>
      </c>
      <c r="D3" s="8" t="s">
        <v>111</v>
      </c>
      <c r="E3" s="8" t="s">
        <v>38</v>
      </c>
      <c r="F3" s="8" t="s">
        <v>112</v>
      </c>
      <c r="G3" s="8" t="s">
        <v>113</v>
      </c>
    </row>
    <row r="4" customFormat="false" ht="15" hidden="false" customHeight="false" outlineLevel="0" collapsed="false">
      <c r="A4" s="7" t="s">
        <v>114</v>
      </c>
      <c r="B4" s="8" t="s">
        <v>115</v>
      </c>
      <c r="C4" s="8" t="s">
        <v>116</v>
      </c>
      <c r="D4" s="8" t="s">
        <v>117</v>
      </c>
      <c r="E4" s="8" t="s">
        <v>52</v>
      </c>
      <c r="F4" s="8" t="s">
        <v>114</v>
      </c>
      <c r="G4" s="8" t="s">
        <v>118</v>
      </c>
    </row>
    <row r="5" customFormat="false" ht="15" hidden="false" customHeight="false" outlineLevel="0" collapsed="false">
      <c r="A5" s="7" t="s">
        <v>119</v>
      </c>
      <c r="B5" s="8" t="s">
        <v>120</v>
      </c>
      <c r="C5" s="8" t="s">
        <v>121</v>
      </c>
      <c r="D5" s="8" t="s">
        <v>117</v>
      </c>
      <c r="E5" s="8" t="s">
        <v>38</v>
      </c>
      <c r="F5" s="8" t="s">
        <v>122</v>
      </c>
      <c r="G5" s="8" t="s">
        <v>123</v>
      </c>
    </row>
    <row r="6" customFormat="false" ht="15" hidden="false" customHeight="false" outlineLevel="0" collapsed="false">
      <c r="A6" s="7" t="s">
        <v>124</v>
      </c>
      <c r="B6" s="8" t="s">
        <v>125</v>
      </c>
      <c r="C6" s="8" t="s">
        <v>126</v>
      </c>
      <c r="D6" s="8" t="s">
        <v>117</v>
      </c>
      <c r="E6" s="8" t="s">
        <v>52</v>
      </c>
      <c r="F6" s="8" t="s">
        <v>127</v>
      </c>
      <c r="G6" s="8" t="s">
        <v>128</v>
      </c>
    </row>
    <row r="7" customFormat="false" ht="15" hidden="false" customHeight="false" outlineLevel="0" collapsed="false">
      <c r="A7" s="7" t="s">
        <v>129</v>
      </c>
      <c r="B7" s="8" t="s">
        <v>130</v>
      </c>
      <c r="C7" s="8" t="s">
        <v>131</v>
      </c>
      <c r="D7" s="8" t="s">
        <v>117</v>
      </c>
      <c r="E7" s="8" t="s">
        <v>38</v>
      </c>
      <c r="F7" s="8" t="s">
        <v>132</v>
      </c>
      <c r="G7" s="8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10" min="9" style="0" width="15"/>
    <col collapsed="false" customWidth="true" hidden="false" outlineLevel="0" max="11" min="11" style="0" width="9"/>
    <col collapsed="false" customWidth="true" hidden="false" outlineLevel="0" max="14" min="12" style="0" width="7"/>
    <col collapsed="false" customWidth="true" hidden="false" outlineLevel="0" max="15" min="15" style="0" width="9"/>
    <col collapsed="false" customWidth="true" hidden="false" outlineLevel="0" max="16" min="16" style="0" width="18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0" min="20" style="0" width="22"/>
  </cols>
  <sheetData>
    <row r="1" customFormat="false" ht="24" hidden="false" customHeight="true" outlineLevel="0" collapsed="false">
      <c r="A1" s="6" t="s">
        <v>133</v>
      </c>
      <c r="B1" s="6" t="s">
        <v>1</v>
      </c>
      <c r="C1" s="6" t="s">
        <v>134</v>
      </c>
      <c r="D1" s="6" t="s">
        <v>18</v>
      </c>
      <c r="E1" s="6" t="s">
        <v>135</v>
      </c>
      <c r="F1" s="6" t="s">
        <v>136</v>
      </c>
      <c r="G1" s="6" t="s">
        <v>24</v>
      </c>
      <c r="H1" s="6" t="s">
        <v>137</v>
      </c>
      <c r="I1" s="6" t="s">
        <v>138</v>
      </c>
      <c r="J1" s="6" t="s">
        <v>139</v>
      </c>
      <c r="K1" s="6" t="s">
        <v>140</v>
      </c>
      <c r="L1" s="6" t="s">
        <v>141</v>
      </c>
      <c r="M1" s="6" t="s">
        <v>142</v>
      </c>
      <c r="N1" s="6" t="s">
        <v>143</v>
      </c>
      <c r="O1" s="6" t="s">
        <v>144</v>
      </c>
      <c r="P1" s="6" t="s">
        <v>145</v>
      </c>
      <c r="Q1" s="6" t="s">
        <v>19</v>
      </c>
      <c r="R1" s="6" t="s">
        <v>146</v>
      </c>
      <c r="S1" s="6" t="s">
        <v>147</v>
      </c>
      <c r="T1" s="6" t="s">
        <v>103</v>
      </c>
    </row>
    <row r="2" customFormat="false" ht="15" hidden="false" customHeight="false" outlineLevel="0" collapsed="false">
      <c r="A2" s="7" t="s">
        <v>148</v>
      </c>
      <c r="B2" s="8" t="s">
        <v>124</v>
      </c>
      <c r="C2" s="8" t="n">
        <v>112</v>
      </c>
      <c r="D2" s="8" t="s">
        <v>33</v>
      </c>
      <c r="E2" s="9" t="n">
        <v>45832</v>
      </c>
      <c r="F2" s="8" t="n">
        <f aca="true">IF(E2="","",ROUND((TODAY()-E2)/7,1))</f>
        <v>50.7</v>
      </c>
      <c r="G2" s="8" t="s">
        <v>38</v>
      </c>
      <c r="H2" s="8"/>
      <c r="I2" s="8" t="s">
        <v>149</v>
      </c>
      <c r="J2" s="8" t="s">
        <v>150</v>
      </c>
      <c r="K2" s="8" t="n">
        <v>5</v>
      </c>
      <c r="L2" s="10" t="s">
        <v>62</v>
      </c>
      <c r="M2" s="10" t="s">
        <v>62</v>
      </c>
      <c r="N2" s="10"/>
      <c r="O2" s="10"/>
      <c r="P2" s="8" t="str">
        <f aca="false">MID(IF(L2="","","; APP:"&amp;L2)&amp;IF(M2="","","; PS1:"&amp;M2)&amp;IF(N2="","","; AQP4:"&amp;N2)&amp;IF(O2="","","; CAG-EGFP:"&amp;O2),3,200)</f>
        <v>APP:-/-; PS1:-/-</v>
      </c>
      <c r="Q2" s="8" t="s">
        <v>47</v>
      </c>
      <c r="R2" s="8" t="s">
        <v>14</v>
      </c>
      <c r="S2" s="8"/>
      <c r="T2" s="8" t="s">
        <v>151</v>
      </c>
    </row>
    <row r="3" customFormat="false" ht="15" hidden="false" customHeight="false" outlineLevel="0" collapsed="false">
      <c r="A3" s="7" t="s">
        <v>152</v>
      </c>
      <c r="B3" s="8" t="s">
        <v>124</v>
      </c>
      <c r="C3" s="8" t="n">
        <v>113</v>
      </c>
      <c r="D3" s="8" t="s">
        <v>33</v>
      </c>
      <c r="E3" s="9" t="n">
        <v>45832</v>
      </c>
      <c r="F3" s="8" t="n">
        <f aca="true">IF(E3="","",ROUND((TODAY()-E3)/7,1))</f>
        <v>50.7</v>
      </c>
      <c r="G3" s="8" t="s">
        <v>38</v>
      </c>
      <c r="H3" s="8"/>
      <c r="I3" s="8" t="s">
        <v>149</v>
      </c>
      <c r="J3" s="8" t="s">
        <v>150</v>
      </c>
      <c r="K3" s="8" t="n">
        <v>5</v>
      </c>
      <c r="L3" s="10" t="s">
        <v>48</v>
      </c>
      <c r="M3" s="10" t="s">
        <v>48</v>
      </c>
      <c r="N3" s="10"/>
      <c r="O3" s="10"/>
      <c r="P3" s="8" t="str">
        <f aca="false">MID(IF(L3="","","; APP:"&amp;L3)&amp;IF(M3="","","; PS1:"&amp;M3)&amp;IF(N3="","","; AQP4:"&amp;N3)&amp;IF(O3="","","; CAG-EGFP:"&amp;O3),3,200)</f>
        <v>APP:+/-; PS1:+/-</v>
      </c>
      <c r="Q3" s="8" t="s">
        <v>47</v>
      </c>
      <c r="R3" s="8" t="s">
        <v>14</v>
      </c>
      <c r="S3" s="8"/>
      <c r="T3" s="8" t="s">
        <v>151</v>
      </c>
    </row>
    <row r="4" customFormat="false" ht="17.15" hidden="false" customHeight="false" outlineLevel="0" collapsed="false">
      <c r="A4" s="7" t="s">
        <v>153</v>
      </c>
      <c r="B4" s="8" t="s">
        <v>124</v>
      </c>
      <c r="C4" s="8" t="n">
        <v>114</v>
      </c>
      <c r="D4" s="8" t="s">
        <v>46</v>
      </c>
      <c r="E4" s="9" t="n">
        <v>45832</v>
      </c>
      <c r="F4" s="8" t="n">
        <f aca="true">IF(E4="","",ROUND((TODAY()-E4)/7,1))</f>
        <v>50.7</v>
      </c>
      <c r="G4" s="8" t="s">
        <v>38</v>
      </c>
      <c r="H4" s="8"/>
      <c r="I4" s="8" t="s">
        <v>149</v>
      </c>
      <c r="J4" s="8" t="s">
        <v>150</v>
      </c>
      <c r="K4" s="8" t="n">
        <v>5</v>
      </c>
      <c r="L4" s="10" t="s">
        <v>48</v>
      </c>
      <c r="M4" s="10" t="s">
        <v>48</v>
      </c>
      <c r="N4" s="10"/>
      <c r="O4" s="10"/>
      <c r="P4" s="8" t="str">
        <f aca="false">MID(IF(L4="","","; APP:"&amp;L4)&amp;IF(M4="","","; PS1:"&amp;M4)&amp;IF(N4="","","; AQP4:"&amp;N4)&amp;IF(O4="","","; CAG-EGFP:"&amp;O4),3,200)</f>
        <v>APP:+/-; PS1:+/-</v>
      </c>
      <c r="Q4" s="8" t="s">
        <v>47</v>
      </c>
      <c r="R4" s="8" t="s">
        <v>14</v>
      </c>
      <c r="S4" s="8"/>
      <c r="T4" s="8" t="s">
        <v>154</v>
      </c>
    </row>
    <row r="5" customFormat="false" ht="15" hidden="false" customHeight="false" outlineLevel="0" collapsed="false">
      <c r="A5" s="7" t="s">
        <v>155</v>
      </c>
      <c r="B5" s="8" t="s">
        <v>124</v>
      </c>
      <c r="C5" s="8" t="n">
        <v>115</v>
      </c>
      <c r="D5" s="8" t="s">
        <v>46</v>
      </c>
      <c r="E5" s="9" t="n">
        <v>45832</v>
      </c>
      <c r="F5" s="8" t="n">
        <f aca="true">IF(E5="","",ROUND((TODAY()-E5)/7,1))</f>
        <v>50.7</v>
      </c>
      <c r="G5" s="8" t="s">
        <v>38</v>
      </c>
      <c r="H5" s="8"/>
      <c r="I5" s="8" t="s">
        <v>149</v>
      </c>
      <c r="J5" s="8" t="s">
        <v>150</v>
      </c>
      <c r="K5" s="8" t="n">
        <v>5</v>
      </c>
      <c r="L5" s="10" t="s">
        <v>62</v>
      </c>
      <c r="M5" s="10" t="s">
        <v>62</v>
      </c>
      <c r="N5" s="10"/>
      <c r="O5" s="10"/>
      <c r="P5" s="8" t="str">
        <f aca="false">MID(IF(L5="","","; APP:"&amp;L5)&amp;IF(M5="","","; PS1:"&amp;M5)&amp;IF(N5="","","; AQP4:"&amp;N5)&amp;IF(O5="","","; CAG-EGFP:"&amp;O5),3,200)</f>
        <v>APP:-/-; PS1:-/-</v>
      </c>
      <c r="Q5" s="8" t="s">
        <v>47</v>
      </c>
      <c r="R5" s="8" t="s">
        <v>14</v>
      </c>
      <c r="S5" s="8"/>
      <c r="T5" s="8" t="s">
        <v>156</v>
      </c>
    </row>
    <row r="6" customFormat="false" ht="17.15" hidden="false" customHeight="false" outlineLevel="0" collapsed="false">
      <c r="A6" s="7" t="s">
        <v>157</v>
      </c>
      <c r="B6" s="8" t="s">
        <v>124</v>
      </c>
      <c r="C6" s="8" t="n">
        <v>116</v>
      </c>
      <c r="D6" s="8" t="s">
        <v>46</v>
      </c>
      <c r="E6" s="9" t="n">
        <v>45832</v>
      </c>
      <c r="F6" s="8" t="n">
        <f aca="true">IF(E6="","",ROUND((TODAY()-E6)/7,1))</f>
        <v>50.7</v>
      </c>
      <c r="G6" s="8" t="s">
        <v>38</v>
      </c>
      <c r="H6" s="8"/>
      <c r="I6" s="8" t="s">
        <v>149</v>
      </c>
      <c r="J6" s="8" t="s">
        <v>150</v>
      </c>
      <c r="K6" s="8" t="n">
        <v>5</v>
      </c>
      <c r="L6" s="10" t="s">
        <v>62</v>
      </c>
      <c r="M6" s="10" t="s">
        <v>62</v>
      </c>
      <c r="N6" s="10"/>
      <c r="O6" s="10"/>
      <c r="P6" s="8" t="str">
        <f aca="false">MID(IF(L6="","","; APP:"&amp;L6)&amp;IF(M6="","","; PS1:"&amp;M6)&amp;IF(N6="","","; AQP4:"&amp;N6)&amp;IF(O6="","","; CAG-EGFP:"&amp;O6),3,200)</f>
        <v>APP:-/-; PS1:-/-</v>
      </c>
      <c r="Q6" s="8" t="s">
        <v>47</v>
      </c>
      <c r="R6" s="8" t="s">
        <v>14</v>
      </c>
      <c r="S6" s="8"/>
      <c r="T6" s="8" t="s">
        <v>158</v>
      </c>
    </row>
    <row r="7" customFormat="false" ht="15" hidden="false" customHeight="false" outlineLevel="0" collapsed="false">
      <c r="A7" s="7" t="s">
        <v>159</v>
      </c>
      <c r="B7" s="8" t="s">
        <v>124</v>
      </c>
      <c r="C7" s="8" t="n">
        <v>117</v>
      </c>
      <c r="D7" s="8" t="s">
        <v>46</v>
      </c>
      <c r="E7" s="9" t="n">
        <v>45832</v>
      </c>
      <c r="F7" s="8" t="n">
        <f aca="true">IF(E7="","",ROUND((TODAY()-E7)/7,1))</f>
        <v>50.7</v>
      </c>
      <c r="G7" s="8" t="s">
        <v>38</v>
      </c>
      <c r="H7" s="8"/>
      <c r="I7" s="8" t="s">
        <v>149</v>
      </c>
      <c r="J7" s="8" t="s">
        <v>150</v>
      </c>
      <c r="K7" s="8" t="n">
        <v>5</v>
      </c>
      <c r="L7" s="10" t="s">
        <v>48</v>
      </c>
      <c r="M7" s="10" t="s">
        <v>48</v>
      </c>
      <c r="N7" s="10"/>
      <c r="O7" s="10"/>
      <c r="P7" s="8" t="str">
        <f aca="false">MID(IF(L7="","","; APP:"&amp;L7)&amp;IF(M7="","","; PS1:"&amp;M7)&amp;IF(N7="","","; AQP4:"&amp;N7)&amp;IF(O7="","","; CAG-EGFP:"&amp;O7),3,200)</f>
        <v>APP:+/-; PS1:+/-</v>
      </c>
      <c r="Q7" s="8" t="s">
        <v>47</v>
      </c>
      <c r="R7" s="8" t="s">
        <v>14</v>
      </c>
      <c r="S7" s="8"/>
      <c r="T7" s="8" t="s">
        <v>151</v>
      </c>
    </row>
    <row r="8" customFormat="false" ht="15" hidden="false" customHeight="false" outlineLevel="0" collapsed="false">
      <c r="A8" s="7" t="s">
        <v>160</v>
      </c>
      <c r="B8" s="8" t="s">
        <v>124</v>
      </c>
      <c r="C8" s="8" t="n">
        <v>118</v>
      </c>
      <c r="D8" s="8" t="s">
        <v>46</v>
      </c>
      <c r="E8" s="9" t="n">
        <v>45832</v>
      </c>
      <c r="F8" s="8" t="n">
        <f aca="true">IF(E8="","",ROUND((TODAY()-E8)/7,1))</f>
        <v>50.7</v>
      </c>
      <c r="G8" s="8" t="s">
        <v>38</v>
      </c>
      <c r="H8" s="8"/>
      <c r="I8" s="8" t="s">
        <v>149</v>
      </c>
      <c r="J8" s="8" t="s">
        <v>150</v>
      </c>
      <c r="K8" s="8" t="n">
        <v>5</v>
      </c>
      <c r="L8" s="10" t="s">
        <v>48</v>
      </c>
      <c r="M8" s="10" t="s">
        <v>48</v>
      </c>
      <c r="N8" s="10"/>
      <c r="O8" s="10"/>
      <c r="P8" s="8" t="str">
        <f aca="false">MID(IF(L8="","","; APP:"&amp;L8)&amp;IF(M8="","","; PS1:"&amp;M8)&amp;IF(N8="","","; AQP4:"&amp;N8)&amp;IF(O8="","","; CAG-EGFP:"&amp;O8),3,200)</f>
        <v>APP:+/-; PS1:+/-</v>
      </c>
      <c r="Q8" s="8" t="s">
        <v>47</v>
      </c>
      <c r="R8" s="8" t="s">
        <v>14</v>
      </c>
      <c r="S8" s="8"/>
      <c r="T8" s="8" t="s">
        <v>151</v>
      </c>
    </row>
    <row r="9" customFormat="false" ht="15" hidden="false" customHeight="false" outlineLevel="0" collapsed="false">
      <c r="A9" s="7" t="s">
        <v>161</v>
      </c>
      <c r="B9" s="8" t="s">
        <v>124</v>
      </c>
      <c r="C9" s="8" t="n">
        <v>119</v>
      </c>
      <c r="D9" s="8" t="s">
        <v>46</v>
      </c>
      <c r="E9" s="9" t="n">
        <v>45832</v>
      </c>
      <c r="F9" s="8" t="n">
        <f aca="true">IF(E9="","",ROUND((TODAY()-E9)/7,1))</f>
        <v>50.7</v>
      </c>
      <c r="G9" s="8" t="s">
        <v>38</v>
      </c>
      <c r="H9" s="8"/>
      <c r="I9" s="8" t="s">
        <v>149</v>
      </c>
      <c r="J9" s="8" t="s">
        <v>150</v>
      </c>
      <c r="K9" s="8" t="n">
        <v>5</v>
      </c>
      <c r="L9" s="10" t="s">
        <v>48</v>
      </c>
      <c r="M9" s="10" t="s">
        <v>48</v>
      </c>
      <c r="N9" s="10"/>
      <c r="O9" s="10"/>
      <c r="P9" s="8" t="str">
        <f aca="false">MID(IF(L9="","","; APP:"&amp;L9)&amp;IF(M9="","","; PS1:"&amp;M9)&amp;IF(N9="","","; AQP4:"&amp;N9)&amp;IF(O9="","","; CAG-EGFP:"&amp;O9),3,200)</f>
        <v>APP:+/-; PS1:+/-</v>
      </c>
      <c r="Q9" s="8" t="s">
        <v>47</v>
      </c>
      <c r="R9" s="8" t="s">
        <v>14</v>
      </c>
      <c r="S9" s="8"/>
      <c r="T9" s="8" t="s">
        <v>151</v>
      </c>
    </row>
    <row r="10" customFormat="false" ht="17.15" hidden="false" customHeight="false" outlineLevel="0" collapsed="false">
      <c r="A10" s="7" t="s">
        <v>162</v>
      </c>
      <c r="B10" s="8" t="s">
        <v>124</v>
      </c>
      <c r="C10" s="8" t="n">
        <v>120</v>
      </c>
      <c r="D10" s="8" t="s">
        <v>33</v>
      </c>
      <c r="E10" s="9" t="n">
        <v>45948</v>
      </c>
      <c r="F10" s="8" t="n">
        <f aca="true">IF(E10="","",ROUND((TODAY()-E10)/7,1))</f>
        <v>34.1</v>
      </c>
      <c r="G10" s="8" t="s">
        <v>38</v>
      </c>
      <c r="H10" s="8"/>
      <c r="I10" s="8" t="s">
        <v>163</v>
      </c>
      <c r="J10" s="8" t="s">
        <v>164</v>
      </c>
      <c r="K10" s="8"/>
      <c r="L10" s="10" t="s">
        <v>48</v>
      </c>
      <c r="M10" s="10" t="s">
        <v>48</v>
      </c>
      <c r="N10" s="10"/>
      <c r="O10" s="10"/>
      <c r="P10" s="8" t="str">
        <f aca="false">MID(IF(L10="","","; APP:"&amp;L10)&amp;IF(M10="","","; PS1:"&amp;M10)&amp;IF(N10="","","; AQP4:"&amp;N10)&amp;IF(O10="","","; CAG-EGFP:"&amp;O10),3,200)</f>
        <v>APP:+/-; PS1:+/-</v>
      </c>
      <c r="Q10" s="8" t="s">
        <v>47</v>
      </c>
      <c r="R10" s="8" t="s">
        <v>14</v>
      </c>
      <c r="S10" s="8"/>
      <c r="T10" s="8" t="s">
        <v>165</v>
      </c>
    </row>
    <row r="11" customFormat="false" ht="17.15" hidden="false" customHeight="false" outlineLevel="0" collapsed="false">
      <c r="A11" s="7" t="s">
        <v>166</v>
      </c>
      <c r="B11" s="8" t="s">
        <v>124</v>
      </c>
      <c r="C11" s="8" t="n">
        <v>121</v>
      </c>
      <c r="D11" s="8" t="s">
        <v>33</v>
      </c>
      <c r="E11" s="9" t="n">
        <v>45948</v>
      </c>
      <c r="F11" s="8" t="n">
        <f aca="true">IF(E11="","",ROUND((TODAY()-E11)/7,1))</f>
        <v>34.1</v>
      </c>
      <c r="G11" s="8" t="s">
        <v>38</v>
      </c>
      <c r="H11" s="8"/>
      <c r="I11" s="8" t="s">
        <v>163</v>
      </c>
      <c r="J11" s="8" t="s">
        <v>164</v>
      </c>
      <c r="K11" s="8"/>
      <c r="L11" s="10" t="s">
        <v>48</v>
      </c>
      <c r="M11" s="10" t="s">
        <v>48</v>
      </c>
      <c r="N11" s="10"/>
      <c r="O11" s="10"/>
      <c r="P11" s="8" t="str">
        <f aca="false">MID(IF(L11="","","; APP:"&amp;L11)&amp;IF(M11="","","; PS1:"&amp;M11)&amp;IF(N11="","","; AQP4:"&amp;N11)&amp;IF(O11="","","; CAG-EGFP:"&amp;O11),3,200)</f>
        <v>APP:+/-; PS1:+/-</v>
      </c>
      <c r="Q11" s="8" t="s">
        <v>47</v>
      </c>
      <c r="R11" s="8" t="s">
        <v>14</v>
      </c>
      <c r="S11" s="8"/>
      <c r="T11" s="8" t="s">
        <v>167</v>
      </c>
    </row>
    <row r="12" customFormat="false" ht="15" hidden="false" customHeight="false" outlineLevel="0" collapsed="false">
      <c r="A12" s="7" t="s">
        <v>168</v>
      </c>
      <c r="B12" s="8" t="s">
        <v>124</v>
      </c>
      <c r="C12" s="8" t="n">
        <v>122</v>
      </c>
      <c r="D12" s="8" t="s">
        <v>33</v>
      </c>
      <c r="E12" s="9" t="n">
        <v>45948</v>
      </c>
      <c r="F12" s="8" t="n">
        <f aca="true">IF(E12="","",ROUND((TODAY()-E12)/7,1))</f>
        <v>34.1</v>
      </c>
      <c r="G12" s="8" t="s">
        <v>38</v>
      </c>
      <c r="H12" s="8"/>
      <c r="I12" s="8" t="s">
        <v>163</v>
      </c>
      <c r="J12" s="8" t="s">
        <v>164</v>
      </c>
      <c r="K12" s="8"/>
      <c r="L12" s="10" t="s">
        <v>62</v>
      </c>
      <c r="M12" s="10" t="s">
        <v>62</v>
      </c>
      <c r="N12" s="10"/>
      <c r="O12" s="10"/>
      <c r="P12" s="8" t="str">
        <f aca="false">MID(IF(L12="","","; APP:"&amp;L12)&amp;IF(M12="","","; PS1:"&amp;M12)&amp;IF(N12="","","; AQP4:"&amp;N12)&amp;IF(O12="","","; CAG-EGFP:"&amp;O12),3,200)</f>
        <v>APP:-/-; PS1:-/-</v>
      </c>
      <c r="Q12" s="8" t="s">
        <v>47</v>
      </c>
      <c r="R12" s="8" t="s">
        <v>14</v>
      </c>
      <c r="S12" s="8"/>
      <c r="T12" s="8" t="s">
        <v>151</v>
      </c>
    </row>
    <row r="13" customFormat="false" ht="15" hidden="false" customHeight="false" outlineLevel="0" collapsed="false">
      <c r="A13" s="7" t="s">
        <v>169</v>
      </c>
      <c r="B13" s="8" t="s">
        <v>124</v>
      </c>
      <c r="C13" s="8" t="n">
        <v>123</v>
      </c>
      <c r="D13" s="8" t="s">
        <v>46</v>
      </c>
      <c r="E13" s="9" t="n">
        <v>45948</v>
      </c>
      <c r="F13" s="8" t="n">
        <f aca="true">IF(E13="","",ROUND((TODAY()-E13)/7,1))</f>
        <v>34.1</v>
      </c>
      <c r="G13" s="8" t="s">
        <v>38</v>
      </c>
      <c r="H13" s="8"/>
      <c r="I13" s="8" t="s">
        <v>163</v>
      </c>
      <c r="J13" s="8" t="s">
        <v>164</v>
      </c>
      <c r="K13" s="8"/>
      <c r="L13" s="10" t="s">
        <v>62</v>
      </c>
      <c r="M13" s="10" t="s">
        <v>62</v>
      </c>
      <c r="N13" s="10"/>
      <c r="O13" s="10"/>
      <c r="P13" s="8" t="str">
        <f aca="false">MID(IF(L13="","","; APP:"&amp;L13)&amp;IF(M13="","","; PS1:"&amp;M13)&amp;IF(N13="","","; AQP4:"&amp;N13)&amp;IF(O13="","","; CAG-EGFP:"&amp;O13),3,200)</f>
        <v>APP:-/-; PS1:-/-</v>
      </c>
      <c r="Q13" s="8" t="s">
        <v>47</v>
      </c>
      <c r="R13" s="8" t="s">
        <v>14</v>
      </c>
      <c r="S13" s="8"/>
      <c r="T13" s="8" t="s">
        <v>151</v>
      </c>
    </row>
    <row r="14" customFormat="false" ht="17.15" hidden="false" customHeight="false" outlineLevel="0" collapsed="false">
      <c r="A14" s="7" t="s">
        <v>170</v>
      </c>
      <c r="B14" s="8" t="s">
        <v>124</v>
      </c>
      <c r="C14" s="8" t="n">
        <v>124</v>
      </c>
      <c r="D14" s="8" t="s">
        <v>46</v>
      </c>
      <c r="E14" s="9" t="n">
        <v>45948</v>
      </c>
      <c r="F14" s="8" t="n">
        <f aca="true">IF(E14="","",ROUND((TODAY()-E14)/7,1))</f>
        <v>34.1</v>
      </c>
      <c r="G14" s="8" t="s">
        <v>38</v>
      </c>
      <c r="H14" s="8"/>
      <c r="I14" s="8" t="s">
        <v>163</v>
      </c>
      <c r="J14" s="8" t="s">
        <v>164</v>
      </c>
      <c r="K14" s="8"/>
      <c r="L14" s="10" t="s">
        <v>48</v>
      </c>
      <c r="M14" s="10" t="s">
        <v>48</v>
      </c>
      <c r="N14" s="10"/>
      <c r="O14" s="10"/>
      <c r="P14" s="8" t="str">
        <f aca="false">MID(IF(L14="","","; APP:"&amp;L14)&amp;IF(M14="","","; PS1:"&amp;M14)&amp;IF(N14="","","; AQP4:"&amp;N14)&amp;IF(O14="","","; CAG-EGFP:"&amp;O14),3,200)</f>
        <v>APP:+/-; PS1:+/-</v>
      </c>
      <c r="Q14" s="8" t="s">
        <v>47</v>
      </c>
      <c r="R14" s="8" t="s">
        <v>14</v>
      </c>
      <c r="S14" s="8"/>
      <c r="T14" s="11" t="s">
        <v>171</v>
      </c>
    </row>
    <row r="15" customFormat="false" ht="17.15" hidden="false" customHeight="false" outlineLevel="0" collapsed="false">
      <c r="A15" s="7" t="s">
        <v>172</v>
      </c>
      <c r="B15" s="8" t="s">
        <v>124</v>
      </c>
      <c r="C15" s="8" t="n">
        <v>125</v>
      </c>
      <c r="D15" s="8" t="s">
        <v>46</v>
      </c>
      <c r="E15" s="9" t="n">
        <v>45948</v>
      </c>
      <c r="F15" s="8" t="n">
        <f aca="true">IF(E15="","",ROUND((TODAY()-E15)/7,1))</f>
        <v>34.1</v>
      </c>
      <c r="G15" s="8" t="s">
        <v>38</v>
      </c>
      <c r="H15" s="8"/>
      <c r="I15" s="8" t="s">
        <v>163</v>
      </c>
      <c r="J15" s="8" t="s">
        <v>164</v>
      </c>
      <c r="K15" s="8"/>
      <c r="L15" s="10" t="s">
        <v>62</v>
      </c>
      <c r="M15" s="10" t="s">
        <v>62</v>
      </c>
      <c r="N15" s="10"/>
      <c r="O15" s="10"/>
      <c r="P15" s="8" t="str">
        <f aca="false">MID(IF(L15="","","; APP:"&amp;L15)&amp;IF(M15="","","; PS1:"&amp;M15)&amp;IF(N15="","","; AQP4:"&amp;N15)&amp;IF(O15="","","; CAG-EGFP:"&amp;O15),3,200)</f>
        <v>APP:-/-; PS1:-/-</v>
      </c>
      <c r="Q15" s="8" t="s">
        <v>47</v>
      </c>
      <c r="R15" s="8" t="s">
        <v>14</v>
      </c>
      <c r="S15" s="8"/>
      <c r="T15" s="8" t="s">
        <v>158</v>
      </c>
    </row>
    <row r="16" customFormat="false" ht="15" hidden="false" customHeight="false" outlineLevel="0" collapsed="false">
      <c r="A16" s="7" t="s">
        <v>173</v>
      </c>
      <c r="B16" s="8" t="s">
        <v>124</v>
      </c>
      <c r="C16" s="8" t="n">
        <v>126</v>
      </c>
      <c r="D16" s="8"/>
      <c r="E16" s="9" t="n">
        <v>46175</v>
      </c>
      <c r="F16" s="8" t="n">
        <f aca="true">IF(E16="","",ROUND((TODAY()-E16)/7,1))</f>
        <v>1.7</v>
      </c>
      <c r="G16" s="8" t="s">
        <v>38</v>
      </c>
      <c r="H16" s="8"/>
      <c r="I16" s="8" t="s">
        <v>174</v>
      </c>
      <c r="J16" s="8" t="s">
        <v>175</v>
      </c>
      <c r="K16" s="8"/>
      <c r="L16" s="10"/>
      <c r="M16" s="10"/>
      <c r="N16" s="10"/>
      <c r="O16" s="10"/>
      <c r="P16" s="8" t="str">
        <f aca="false">MID(IF(L16="","","; APP:"&amp;L16)&amp;IF(M16="","","; PS1:"&amp;M16)&amp;IF(N16="","","; AQP4:"&amp;N16)&amp;IF(O16="","","; CAG-EGFP:"&amp;O16),3,200)</f>
        <v/>
      </c>
      <c r="Q16" s="8" t="s">
        <v>34</v>
      </c>
      <c r="R16" s="8" t="s">
        <v>14</v>
      </c>
      <c r="S16" s="8"/>
      <c r="T16" s="8"/>
    </row>
    <row r="17" customFormat="false" ht="15" hidden="false" customHeight="false" outlineLevel="0" collapsed="false">
      <c r="A17" s="7" t="s">
        <v>176</v>
      </c>
      <c r="B17" s="8" t="s">
        <v>124</v>
      </c>
      <c r="C17" s="8" t="n">
        <v>127</v>
      </c>
      <c r="D17" s="8"/>
      <c r="E17" s="9" t="n">
        <v>46175</v>
      </c>
      <c r="F17" s="8" t="n">
        <f aca="true">IF(E17="","",ROUND((TODAY()-E17)/7,1))</f>
        <v>1.7</v>
      </c>
      <c r="G17" s="8" t="s">
        <v>38</v>
      </c>
      <c r="H17" s="8"/>
      <c r="I17" s="8" t="s">
        <v>174</v>
      </c>
      <c r="J17" s="8" t="s">
        <v>175</v>
      </c>
      <c r="K17" s="8"/>
      <c r="L17" s="10"/>
      <c r="M17" s="10"/>
      <c r="N17" s="10"/>
      <c r="O17" s="10"/>
      <c r="P17" s="8" t="str">
        <f aca="false">MID(IF(L17="","","; APP:"&amp;L17)&amp;IF(M17="","","; PS1:"&amp;M17)&amp;IF(N17="","","; AQP4:"&amp;N17)&amp;IF(O17="","","; CAG-EGFP:"&amp;O17),3,200)</f>
        <v/>
      </c>
      <c r="Q17" s="8" t="s">
        <v>34</v>
      </c>
      <c r="R17" s="8" t="s">
        <v>14</v>
      </c>
      <c r="S17" s="8"/>
      <c r="T17" s="8"/>
    </row>
    <row r="18" customFormat="false" ht="15" hidden="false" customHeight="false" outlineLevel="0" collapsed="false">
      <c r="A18" s="7" t="s">
        <v>177</v>
      </c>
      <c r="B18" s="8" t="s">
        <v>124</v>
      </c>
      <c r="C18" s="8" t="n">
        <v>128</v>
      </c>
      <c r="D18" s="8"/>
      <c r="E18" s="9" t="n">
        <v>46175</v>
      </c>
      <c r="F18" s="8" t="n">
        <f aca="true">IF(E18="","",ROUND((TODAY()-E18)/7,1))</f>
        <v>1.7</v>
      </c>
      <c r="G18" s="8" t="s">
        <v>38</v>
      </c>
      <c r="H18" s="8"/>
      <c r="I18" s="8" t="s">
        <v>174</v>
      </c>
      <c r="J18" s="8" t="s">
        <v>175</v>
      </c>
      <c r="K18" s="8"/>
      <c r="L18" s="10"/>
      <c r="M18" s="10"/>
      <c r="N18" s="10"/>
      <c r="O18" s="10"/>
      <c r="P18" s="8" t="str">
        <f aca="false">MID(IF(L18="","","; APP:"&amp;L18)&amp;IF(M18="","","; PS1:"&amp;M18)&amp;IF(N18="","","; AQP4:"&amp;N18)&amp;IF(O18="","","; CAG-EGFP:"&amp;O18),3,200)</f>
        <v/>
      </c>
      <c r="Q18" s="8" t="s">
        <v>34</v>
      </c>
      <c r="R18" s="8" t="s">
        <v>14</v>
      </c>
      <c r="S18" s="8"/>
      <c r="T18" s="8"/>
    </row>
    <row r="19" customFormat="false" ht="15" hidden="false" customHeight="false" outlineLevel="0" collapsed="false">
      <c r="A19" s="7" t="s">
        <v>178</v>
      </c>
      <c r="B19" s="8" t="s">
        <v>124</v>
      </c>
      <c r="C19" s="8" t="n">
        <v>129</v>
      </c>
      <c r="D19" s="8"/>
      <c r="E19" s="9" t="n">
        <v>46175</v>
      </c>
      <c r="F19" s="8" t="n">
        <f aca="true">IF(E19="","",ROUND((TODAY()-E19)/7,1))</f>
        <v>1.7</v>
      </c>
      <c r="G19" s="8" t="s">
        <v>38</v>
      </c>
      <c r="H19" s="8"/>
      <c r="I19" s="8" t="s">
        <v>174</v>
      </c>
      <c r="J19" s="8" t="s">
        <v>175</v>
      </c>
      <c r="K19" s="8"/>
      <c r="L19" s="10"/>
      <c r="M19" s="10"/>
      <c r="N19" s="10"/>
      <c r="O19" s="10"/>
      <c r="P19" s="8" t="str">
        <f aca="false">MID(IF(L19="","","; APP:"&amp;L19)&amp;IF(M19="","","; PS1:"&amp;M19)&amp;IF(N19="","","; AQP4:"&amp;N19)&amp;IF(O19="","","; CAG-EGFP:"&amp;O19),3,200)</f>
        <v/>
      </c>
      <c r="Q19" s="8" t="s">
        <v>34</v>
      </c>
      <c r="R19" s="8" t="s">
        <v>14</v>
      </c>
      <c r="S19" s="8"/>
      <c r="T19" s="8"/>
    </row>
    <row r="20" customFormat="false" ht="15" hidden="false" customHeight="false" outlineLevel="0" collapsed="false">
      <c r="A20" s="7" t="s">
        <v>179</v>
      </c>
      <c r="B20" s="8" t="s">
        <v>124</v>
      </c>
      <c r="C20" s="8" t="n">
        <v>130</v>
      </c>
      <c r="D20" s="8"/>
      <c r="E20" s="9" t="n">
        <v>46175</v>
      </c>
      <c r="F20" s="8" t="n">
        <f aca="true">IF(E20="","",ROUND((TODAY()-E20)/7,1))</f>
        <v>1.7</v>
      </c>
      <c r="G20" s="8" t="s">
        <v>38</v>
      </c>
      <c r="H20" s="8"/>
      <c r="I20" s="8" t="s">
        <v>174</v>
      </c>
      <c r="J20" s="8" t="s">
        <v>175</v>
      </c>
      <c r="K20" s="8"/>
      <c r="L20" s="10"/>
      <c r="M20" s="10"/>
      <c r="N20" s="10"/>
      <c r="O20" s="10"/>
      <c r="P20" s="8" t="str">
        <f aca="false">MID(IF(L20="","","; APP:"&amp;L20)&amp;IF(M20="","","; PS1:"&amp;M20)&amp;IF(N20="","","; AQP4:"&amp;N20)&amp;IF(O20="","","; CAG-EGFP:"&amp;O20),3,200)</f>
        <v/>
      </c>
      <c r="Q20" s="8" t="s">
        <v>34</v>
      </c>
      <c r="R20" s="8" t="s">
        <v>14</v>
      </c>
      <c r="S20" s="8"/>
      <c r="T20" s="8"/>
    </row>
    <row r="21" customFormat="false" ht="15" hidden="false" customHeight="false" outlineLevel="0" collapsed="false">
      <c r="A21" s="7" t="s">
        <v>180</v>
      </c>
      <c r="B21" s="8" t="s">
        <v>124</v>
      </c>
      <c r="C21" s="8" t="n">
        <v>131</v>
      </c>
      <c r="D21" s="8"/>
      <c r="E21" s="9" t="n">
        <v>46175</v>
      </c>
      <c r="F21" s="8" t="n">
        <f aca="true">IF(E21="","",ROUND((TODAY()-E21)/7,1))</f>
        <v>1.7</v>
      </c>
      <c r="G21" s="8" t="s">
        <v>38</v>
      </c>
      <c r="H21" s="8"/>
      <c r="I21" s="8" t="s">
        <v>174</v>
      </c>
      <c r="J21" s="8" t="s">
        <v>175</v>
      </c>
      <c r="K21" s="8"/>
      <c r="L21" s="10"/>
      <c r="M21" s="10"/>
      <c r="N21" s="10"/>
      <c r="O21" s="10"/>
      <c r="P21" s="8" t="str">
        <f aca="false">MID(IF(L21="","","; APP:"&amp;L21)&amp;IF(M21="","","; PS1:"&amp;M21)&amp;IF(N21="","","; AQP4:"&amp;N21)&amp;IF(O21="","","; CAG-EGFP:"&amp;O21),3,200)</f>
        <v/>
      </c>
      <c r="Q21" s="8" t="s">
        <v>34</v>
      </c>
      <c r="R21" s="8" t="s">
        <v>14</v>
      </c>
      <c r="S21" s="8"/>
      <c r="T21" s="8"/>
    </row>
    <row r="22" customFormat="false" ht="15" hidden="false" customHeight="false" outlineLevel="0" collapsed="false">
      <c r="A22" s="7" t="s">
        <v>181</v>
      </c>
      <c r="B22" s="8" t="s">
        <v>124</v>
      </c>
      <c r="C22" s="8" t="n">
        <v>132</v>
      </c>
      <c r="D22" s="8"/>
      <c r="E22" s="9" t="n">
        <v>46175</v>
      </c>
      <c r="F22" s="8" t="n">
        <f aca="true">IF(E22="","",ROUND((TODAY()-E22)/7,1))</f>
        <v>1.7</v>
      </c>
      <c r="G22" s="8" t="s">
        <v>38</v>
      </c>
      <c r="H22" s="8"/>
      <c r="I22" s="8" t="s">
        <v>174</v>
      </c>
      <c r="J22" s="8" t="s">
        <v>175</v>
      </c>
      <c r="K22" s="8"/>
      <c r="L22" s="10"/>
      <c r="M22" s="10"/>
      <c r="N22" s="10"/>
      <c r="O22" s="10"/>
      <c r="P22" s="8" t="str">
        <f aca="false">MID(IF(L22="","","; APP:"&amp;L22)&amp;IF(M22="","","; PS1:"&amp;M22)&amp;IF(N22="","","; AQP4:"&amp;N22)&amp;IF(O22="","","; CAG-EGFP:"&amp;O22),3,200)</f>
        <v/>
      </c>
      <c r="Q22" s="8" t="s">
        <v>34</v>
      </c>
      <c r="R22" s="8" t="s">
        <v>14</v>
      </c>
      <c r="S22" s="8"/>
      <c r="T22" s="8"/>
    </row>
    <row r="23" customFormat="false" ht="15" hidden="false" customHeight="false" outlineLevel="0" collapsed="false">
      <c r="A23" s="7" t="s">
        <v>182</v>
      </c>
      <c r="B23" s="8" t="s">
        <v>124</v>
      </c>
      <c r="C23" s="8" t="n">
        <v>133</v>
      </c>
      <c r="D23" s="8"/>
      <c r="E23" s="9" t="n">
        <v>46175</v>
      </c>
      <c r="F23" s="8" t="n">
        <f aca="true">IF(E23="","",ROUND((TODAY()-E23)/7,1))</f>
        <v>1.7</v>
      </c>
      <c r="G23" s="8" t="s">
        <v>38</v>
      </c>
      <c r="H23" s="8"/>
      <c r="I23" s="8" t="s">
        <v>174</v>
      </c>
      <c r="J23" s="8" t="s">
        <v>175</v>
      </c>
      <c r="K23" s="8"/>
      <c r="L23" s="10"/>
      <c r="M23" s="10"/>
      <c r="N23" s="10"/>
      <c r="O23" s="10"/>
      <c r="P23" s="8" t="str">
        <f aca="false">MID(IF(L23="","","; APP:"&amp;L23)&amp;IF(M23="","","; PS1:"&amp;M23)&amp;IF(N23="","","; AQP4:"&amp;N23)&amp;IF(O23="","","; CAG-EGFP:"&amp;O23),3,200)</f>
        <v/>
      </c>
      <c r="Q23" s="8" t="s">
        <v>34</v>
      </c>
      <c r="R23" s="8" t="s">
        <v>14</v>
      </c>
      <c r="S23" s="8"/>
      <c r="T23" s="8"/>
    </row>
    <row r="24" customFormat="false" ht="15" hidden="false" customHeight="false" outlineLevel="0" collapsed="false">
      <c r="A24" s="7" t="s">
        <v>183</v>
      </c>
      <c r="B24" s="8" t="s">
        <v>124</v>
      </c>
      <c r="C24" s="8" t="n">
        <v>134</v>
      </c>
      <c r="D24" s="8"/>
      <c r="E24" s="9" t="n">
        <v>46175</v>
      </c>
      <c r="F24" s="8" t="n">
        <f aca="true">IF(E24="","",ROUND((TODAY()-E24)/7,1))</f>
        <v>1.7</v>
      </c>
      <c r="G24" s="8" t="s">
        <v>38</v>
      </c>
      <c r="H24" s="8"/>
      <c r="I24" s="8" t="s">
        <v>174</v>
      </c>
      <c r="J24" s="8" t="s">
        <v>175</v>
      </c>
      <c r="K24" s="8"/>
      <c r="L24" s="10"/>
      <c r="M24" s="10"/>
      <c r="N24" s="10"/>
      <c r="O24" s="10"/>
      <c r="P24" s="8" t="str">
        <f aca="false">MID(IF(L24="","","; APP:"&amp;L24)&amp;IF(M24="","","; PS1:"&amp;M24)&amp;IF(N24="","","; AQP4:"&amp;N24)&amp;IF(O24="","","; CAG-EGFP:"&amp;O24),3,200)</f>
        <v/>
      </c>
      <c r="Q24" s="8" t="s">
        <v>34</v>
      </c>
      <c r="R24" s="8" t="s">
        <v>14</v>
      </c>
      <c r="S24" s="8"/>
      <c r="T24" s="8"/>
    </row>
    <row r="25" customFormat="false" ht="15" hidden="false" customHeight="false" outlineLevel="0" collapsed="false">
      <c r="A25" s="7" t="s">
        <v>184</v>
      </c>
      <c r="B25" s="8" t="s">
        <v>124</v>
      </c>
      <c r="C25" s="8" t="n">
        <v>135</v>
      </c>
      <c r="D25" s="8"/>
      <c r="E25" s="9" t="n">
        <v>46179</v>
      </c>
      <c r="F25" s="8" t="n">
        <f aca="true">IF(E25="","",ROUND((TODAY()-E25)/7,1))</f>
        <v>1.1</v>
      </c>
      <c r="G25" s="8" t="s">
        <v>38</v>
      </c>
      <c r="H25" s="8"/>
      <c r="I25" s="8" t="s">
        <v>185</v>
      </c>
      <c r="J25" s="8" t="s">
        <v>186</v>
      </c>
      <c r="K25" s="8"/>
      <c r="L25" s="10"/>
      <c r="M25" s="10"/>
      <c r="N25" s="10"/>
      <c r="O25" s="10"/>
      <c r="P25" s="8" t="str">
        <f aca="false">MID(IF(L25="","","; APP:"&amp;L25)&amp;IF(M25="","","; PS1:"&amp;M25)&amp;IF(N25="","","; AQP4:"&amp;N25)&amp;IF(O25="","","; CAG-EGFP:"&amp;O25),3,200)</f>
        <v/>
      </c>
      <c r="Q25" s="8" t="s">
        <v>34</v>
      </c>
      <c r="R25" s="8" t="s">
        <v>14</v>
      </c>
      <c r="S25" s="8"/>
      <c r="T25" s="8"/>
    </row>
    <row r="26" customFormat="false" ht="15" hidden="false" customHeight="false" outlineLevel="0" collapsed="false">
      <c r="A26" s="7" t="s">
        <v>187</v>
      </c>
      <c r="B26" s="8" t="s">
        <v>124</v>
      </c>
      <c r="C26" s="8" t="n">
        <v>136</v>
      </c>
      <c r="D26" s="8"/>
      <c r="E26" s="9" t="n">
        <v>46179</v>
      </c>
      <c r="F26" s="8" t="n">
        <f aca="true">IF(E26="","",ROUND((TODAY()-E26)/7,1))</f>
        <v>1.1</v>
      </c>
      <c r="G26" s="8" t="s">
        <v>38</v>
      </c>
      <c r="H26" s="8"/>
      <c r="I26" s="8" t="s">
        <v>185</v>
      </c>
      <c r="J26" s="8" t="s">
        <v>186</v>
      </c>
      <c r="K26" s="8"/>
      <c r="L26" s="10"/>
      <c r="M26" s="10"/>
      <c r="N26" s="10"/>
      <c r="O26" s="10"/>
      <c r="P26" s="8" t="str">
        <f aca="false">MID(IF(L26="","","; APP:"&amp;L26)&amp;IF(M26="","","; PS1:"&amp;M26)&amp;IF(N26="","","; AQP4:"&amp;N26)&amp;IF(O26="","","; CAG-EGFP:"&amp;O26),3,200)</f>
        <v/>
      </c>
      <c r="Q26" s="8" t="s">
        <v>34</v>
      </c>
      <c r="R26" s="8" t="s">
        <v>14</v>
      </c>
      <c r="S26" s="8"/>
      <c r="T26" s="8"/>
    </row>
    <row r="27" customFormat="false" ht="15" hidden="false" customHeight="false" outlineLevel="0" collapsed="false">
      <c r="A27" s="7" t="s">
        <v>188</v>
      </c>
      <c r="B27" s="8" t="s">
        <v>124</v>
      </c>
      <c r="C27" s="8" t="n">
        <v>137</v>
      </c>
      <c r="D27" s="8"/>
      <c r="E27" s="9" t="n">
        <v>46179</v>
      </c>
      <c r="F27" s="8" t="n">
        <f aca="true">IF(E27="","",ROUND((TODAY()-E27)/7,1))</f>
        <v>1.1</v>
      </c>
      <c r="G27" s="8" t="s">
        <v>38</v>
      </c>
      <c r="H27" s="8"/>
      <c r="I27" s="8" t="s">
        <v>185</v>
      </c>
      <c r="J27" s="8" t="s">
        <v>186</v>
      </c>
      <c r="K27" s="8"/>
      <c r="L27" s="10"/>
      <c r="M27" s="10"/>
      <c r="N27" s="10"/>
      <c r="O27" s="10"/>
      <c r="P27" s="8" t="str">
        <f aca="false">MID(IF(L27="","","; APP:"&amp;L27)&amp;IF(M27="","","; PS1:"&amp;M27)&amp;IF(N27="","","; AQP4:"&amp;N27)&amp;IF(O27="","","; CAG-EGFP:"&amp;O27),3,200)</f>
        <v/>
      </c>
      <c r="Q27" s="8" t="s">
        <v>34</v>
      </c>
      <c r="R27" s="8" t="s">
        <v>14</v>
      </c>
      <c r="S27" s="8"/>
      <c r="T27" s="8"/>
    </row>
    <row r="28" customFormat="false" ht="15" hidden="false" customHeight="false" outlineLevel="0" collapsed="false">
      <c r="A28" s="7" t="s">
        <v>189</v>
      </c>
      <c r="B28" s="8" t="s">
        <v>124</v>
      </c>
      <c r="C28" s="8" t="n">
        <v>138</v>
      </c>
      <c r="D28" s="8"/>
      <c r="E28" s="9" t="n">
        <v>46179</v>
      </c>
      <c r="F28" s="8" t="n">
        <f aca="true">IF(E28="","",ROUND((TODAY()-E28)/7,1))</f>
        <v>1.1</v>
      </c>
      <c r="G28" s="8" t="s">
        <v>38</v>
      </c>
      <c r="H28" s="8"/>
      <c r="I28" s="8" t="s">
        <v>185</v>
      </c>
      <c r="J28" s="8" t="s">
        <v>186</v>
      </c>
      <c r="K28" s="8"/>
      <c r="L28" s="10"/>
      <c r="M28" s="10"/>
      <c r="N28" s="10"/>
      <c r="O28" s="10"/>
      <c r="P28" s="8" t="str">
        <f aca="false">MID(IF(L28="","","; APP:"&amp;L28)&amp;IF(M28="","","; PS1:"&amp;M28)&amp;IF(N28="","","; AQP4:"&amp;N28)&amp;IF(O28="","","; CAG-EGFP:"&amp;O28),3,200)</f>
        <v/>
      </c>
      <c r="Q28" s="8" t="s">
        <v>34</v>
      </c>
      <c r="R28" s="8" t="s">
        <v>14</v>
      </c>
      <c r="S28" s="8"/>
      <c r="T28" s="8"/>
    </row>
    <row r="29" customFormat="false" ht="17.15" hidden="false" customHeight="false" outlineLevel="0" collapsed="false">
      <c r="A29" s="7" t="s">
        <v>190</v>
      </c>
      <c r="B29" s="8" t="s">
        <v>124</v>
      </c>
      <c r="C29" s="8" t="n">
        <v>1</v>
      </c>
      <c r="D29" s="8" t="s">
        <v>33</v>
      </c>
      <c r="E29" s="9" t="n">
        <v>44991</v>
      </c>
      <c r="F29" s="8" t="n">
        <f aca="true">IF(E29="","",ROUND((TODAY()-E29)/7,1))</f>
        <v>170.9</v>
      </c>
      <c r="G29" s="8" t="s">
        <v>52</v>
      </c>
      <c r="H29" s="8"/>
      <c r="I29" s="8" t="s">
        <v>191</v>
      </c>
      <c r="J29" s="8" t="s">
        <v>192</v>
      </c>
      <c r="K29" s="8" t="n">
        <v>1</v>
      </c>
      <c r="L29" s="10" t="s">
        <v>48</v>
      </c>
      <c r="M29" s="10" t="s">
        <v>48</v>
      </c>
      <c r="N29" s="10"/>
      <c r="O29" s="10"/>
      <c r="P29" s="8" t="str">
        <f aca="false">MID(IF(L29="","","; APP:"&amp;L29)&amp;IF(M29="","","; PS1:"&amp;M29)&amp;IF(N29="","","; AQP4:"&amp;N29)&amp;IF(O29="","","; CAG-EGFP:"&amp;O29),3,200)</f>
        <v>APP:+/-; PS1:+/-</v>
      </c>
      <c r="Q29" s="8" t="s">
        <v>47</v>
      </c>
      <c r="R29" s="8" t="s">
        <v>88</v>
      </c>
      <c r="S29" s="8"/>
      <c r="T29" s="8" t="s">
        <v>193</v>
      </c>
    </row>
    <row r="30" customFormat="false" ht="17.15" hidden="false" customHeight="false" outlineLevel="0" collapsed="false">
      <c r="A30" s="7" t="s">
        <v>194</v>
      </c>
      <c r="B30" s="8" t="s">
        <v>124</v>
      </c>
      <c r="C30" s="8" t="n">
        <v>2</v>
      </c>
      <c r="D30" s="8" t="s">
        <v>33</v>
      </c>
      <c r="E30" s="9" t="n">
        <v>44991</v>
      </c>
      <c r="F30" s="8" t="n">
        <f aca="true">IF(E30="","",ROUND((TODAY()-E30)/7,1))</f>
        <v>170.9</v>
      </c>
      <c r="G30" s="8" t="s">
        <v>52</v>
      </c>
      <c r="H30" s="8"/>
      <c r="I30" s="8" t="s">
        <v>191</v>
      </c>
      <c r="J30" s="8" t="s">
        <v>192</v>
      </c>
      <c r="K30" s="8" t="n">
        <v>1</v>
      </c>
      <c r="L30" s="10" t="s">
        <v>48</v>
      </c>
      <c r="M30" s="10" t="s">
        <v>48</v>
      </c>
      <c r="N30" s="10"/>
      <c r="O30" s="10"/>
      <c r="P30" s="8" t="str">
        <f aca="false">MID(IF(L30="","","; APP:"&amp;L30)&amp;IF(M30="","","; PS1:"&amp;M30)&amp;IF(N30="","","; AQP4:"&amp;N30)&amp;IF(O30="","","; CAG-EGFP:"&amp;O30),3,200)</f>
        <v>APP:+/-; PS1:+/-</v>
      </c>
      <c r="Q30" s="8" t="s">
        <v>47</v>
      </c>
      <c r="R30" s="8" t="s">
        <v>88</v>
      </c>
      <c r="S30" s="8"/>
      <c r="T30" s="8" t="s">
        <v>195</v>
      </c>
    </row>
    <row r="31" customFormat="false" ht="17.15" hidden="false" customHeight="false" outlineLevel="0" collapsed="false">
      <c r="A31" s="7" t="s">
        <v>196</v>
      </c>
      <c r="B31" s="8" t="s">
        <v>124</v>
      </c>
      <c r="C31" s="8" t="n">
        <v>3</v>
      </c>
      <c r="D31" s="8" t="s">
        <v>46</v>
      </c>
      <c r="E31" s="9" t="n">
        <v>44991</v>
      </c>
      <c r="F31" s="8" t="n">
        <f aca="true">IF(E31="","",ROUND((TODAY()-E31)/7,1))</f>
        <v>170.9</v>
      </c>
      <c r="G31" s="8" t="s">
        <v>52</v>
      </c>
      <c r="H31" s="8"/>
      <c r="I31" s="8" t="s">
        <v>191</v>
      </c>
      <c r="J31" s="8" t="s">
        <v>192</v>
      </c>
      <c r="K31" s="8" t="n">
        <v>1</v>
      </c>
      <c r="L31" s="10" t="s">
        <v>48</v>
      </c>
      <c r="M31" s="10" t="s">
        <v>48</v>
      </c>
      <c r="N31" s="10"/>
      <c r="O31" s="10"/>
      <c r="P31" s="8" t="str">
        <f aca="false">MID(IF(L31="","","; APP:"&amp;L31)&amp;IF(M31="","","; PS1:"&amp;M31)&amp;IF(N31="","","; AQP4:"&amp;N31)&amp;IF(O31="","","; CAG-EGFP:"&amp;O31),3,200)</f>
        <v>APP:+/-; PS1:+/-</v>
      </c>
      <c r="Q31" s="8" t="s">
        <v>47</v>
      </c>
      <c r="R31" s="8" t="s">
        <v>88</v>
      </c>
      <c r="S31" s="8"/>
      <c r="T31" s="8" t="s">
        <v>197</v>
      </c>
    </row>
    <row r="32" customFormat="false" ht="17.15" hidden="false" customHeight="false" outlineLevel="0" collapsed="false">
      <c r="A32" s="7" t="s">
        <v>198</v>
      </c>
      <c r="B32" s="8" t="s">
        <v>124</v>
      </c>
      <c r="C32" s="8" t="n">
        <v>4</v>
      </c>
      <c r="D32" s="8" t="s">
        <v>46</v>
      </c>
      <c r="E32" s="9" t="n">
        <v>44991</v>
      </c>
      <c r="F32" s="8" t="n">
        <f aca="true">IF(E32="","",ROUND((TODAY()-E32)/7,1))</f>
        <v>170.9</v>
      </c>
      <c r="G32" s="8" t="s">
        <v>52</v>
      </c>
      <c r="H32" s="8"/>
      <c r="I32" s="8" t="s">
        <v>191</v>
      </c>
      <c r="J32" s="8" t="s">
        <v>192</v>
      </c>
      <c r="K32" s="8" t="n">
        <v>1</v>
      </c>
      <c r="L32" s="10" t="s">
        <v>48</v>
      </c>
      <c r="M32" s="10" t="s">
        <v>48</v>
      </c>
      <c r="N32" s="10"/>
      <c r="O32" s="10"/>
      <c r="P32" s="8" t="str">
        <f aca="false">MID(IF(L32="","","; APP:"&amp;L32)&amp;IF(M32="","","; PS1:"&amp;M32)&amp;IF(N32="","","; AQP4:"&amp;N32)&amp;IF(O32="","","; CAG-EGFP:"&amp;O32),3,200)</f>
        <v>APP:+/-; PS1:+/-</v>
      </c>
      <c r="Q32" s="8" t="s">
        <v>47</v>
      </c>
      <c r="R32" s="8" t="s">
        <v>88</v>
      </c>
      <c r="S32" s="8"/>
      <c r="T32" s="8" t="s">
        <v>197</v>
      </c>
    </row>
    <row r="33" customFormat="false" ht="17.15" hidden="false" customHeight="false" outlineLevel="0" collapsed="false">
      <c r="A33" s="7" t="s">
        <v>199</v>
      </c>
      <c r="B33" s="8" t="s">
        <v>124</v>
      </c>
      <c r="C33" s="8" t="n">
        <v>5</v>
      </c>
      <c r="D33" s="8" t="s">
        <v>33</v>
      </c>
      <c r="E33" s="9" t="n">
        <v>45235</v>
      </c>
      <c r="F33" s="8" t="n">
        <f aca="true">IF(E33="","",ROUND((TODAY()-E33)/7,1))</f>
        <v>136</v>
      </c>
      <c r="G33" s="8" t="s">
        <v>38</v>
      </c>
      <c r="H33" s="8"/>
      <c r="I33" s="8" t="s">
        <v>200</v>
      </c>
      <c r="J33" s="8" t="s">
        <v>201</v>
      </c>
      <c r="K33" s="8" t="n">
        <v>2</v>
      </c>
      <c r="L33" s="10" t="s">
        <v>48</v>
      </c>
      <c r="M33" s="10" t="s">
        <v>48</v>
      </c>
      <c r="N33" s="10"/>
      <c r="O33" s="10"/>
      <c r="P33" s="8" t="str">
        <f aca="false">MID(IF(L33="","","; APP:"&amp;L33)&amp;IF(M33="","","; PS1:"&amp;M33)&amp;IF(N33="","","; AQP4:"&amp;N33)&amp;IF(O33="","","; CAG-EGFP:"&amp;O33),3,200)</f>
        <v>APP:+/-; PS1:+/-</v>
      </c>
      <c r="Q33" s="8" t="s">
        <v>47</v>
      </c>
      <c r="R33" s="8" t="s">
        <v>88</v>
      </c>
      <c r="S33" s="8"/>
      <c r="T33" s="8" t="s">
        <v>202</v>
      </c>
    </row>
    <row r="34" customFormat="false" ht="17.15" hidden="false" customHeight="false" outlineLevel="0" collapsed="false">
      <c r="A34" s="7" t="s">
        <v>203</v>
      </c>
      <c r="B34" s="8" t="s">
        <v>124</v>
      </c>
      <c r="C34" s="8" t="n">
        <v>6</v>
      </c>
      <c r="D34" s="8" t="s">
        <v>33</v>
      </c>
      <c r="E34" s="9" t="n">
        <v>45235</v>
      </c>
      <c r="F34" s="8" t="n">
        <f aca="true">IF(E34="","",ROUND((TODAY()-E34)/7,1))</f>
        <v>136</v>
      </c>
      <c r="G34" s="8" t="s">
        <v>38</v>
      </c>
      <c r="H34" s="8"/>
      <c r="I34" s="8" t="s">
        <v>200</v>
      </c>
      <c r="J34" s="8" t="s">
        <v>201</v>
      </c>
      <c r="K34" s="8" t="n">
        <v>2</v>
      </c>
      <c r="L34" s="10" t="s">
        <v>62</v>
      </c>
      <c r="M34" s="10" t="s">
        <v>62</v>
      </c>
      <c r="N34" s="10"/>
      <c r="O34" s="10"/>
      <c r="P34" s="8" t="str">
        <f aca="false">MID(IF(L34="","","; APP:"&amp;L34)&amp;IF(M34="","","; PS1:"&amp;M34)&amp;IF(N34="","","; AQP4:"&amp;N34)&amp;IF(O34="","","; CAG-EGFP:"&amp;O34),3,200)</f>
        <v>APP:-/-; PS1:-/-</v>
      </c>
      <c r="Q34" s="8" t="s">
        <v>47</v>
      </c>
      <c r="R34" s="8" t="s">
        <v>88</v>
      </c>
      <c r="S34" s="8"/>
      <c r="T34" s="8" t="s">
        <v>204</v>
      </c>
    </row>
    <row r="35" customFormat="false" ht="17.15" hidden="false" customHeight="false" outlineLevel="0" collapsed="false">
      <c r="A35" s="7" t="s">
        <v>205</v>
      </c>
      <c r="B35" s="8" t="s">
        <v>124</v>
      </c>
      <c r="C35" s="8" t="n">
        <v>7</v>
      </c>
      <c r="D35" s="8" t="s">
        <v>33</v>
      </c>
      <c r="E35" s="9" t="n">
        <v>45235</v>
      </c>
      <c r="F35" s="8" t="n">
        <f aca="true">IF(E35="","",ROUND((TODAY()-E35)/7,1))</f>
        <v>136</v>
      </c>
      <c r="G35" s="8" t="s">
        <v>38</v>
      </c>
      <c r="H35" s="8"/>
      <c r="I35" s="8" t="s">
        <v>200</v>
      </c>
      <c r="J35" s="8" t="s">
        <v>201</v>
      </c>
      <c r="K35" s="8" t="n">
        <v>2</v>
      </c>
      <c r="L35" s="10" t="s">
        <v>48</v>
      </c>
      <c r="M35" s="10" t="s">
        <v>48</v>
      </c>
      <c r="N35" s="10"/>
      <c r="O35" s="10"/>
      <c r="P35" s="8" t="str">
        <f aca="false">MID(IF(L35="","","; APP:"&amp;L35)&amp;IF(M35="","","; PS1:"&amp;M35)&amp;IF(N35="","","; AQP4:"&amp;N35)&amp;IF(O35="","","; CAG-EGFP:"&amp;O35),3,200)</f>
        <v>APP:+/-; PS1:+/-</v>
      </c>
      <c r="Q35" s="8" t="s">
        <v>47</v>
      </c>
      <c r="R35" s="8" t="s">
        <v>88</v>
      </c>
      <c r="S35" s="8"/>
      <c r="T35" s="8" t="s">
        <v>206</v>
      </c>
    </row>
    <row r="36" customFormat="false" ht="17.15" hidden="false" customHeight="false" outlineLevel="0" collapsed="false">
      <c r="A36" s="7" t="s">
        <v>207</v>
      </c>
      <c r="B36" s="8" t="s">
        <v>124</v>
      </c>
      <c r="C36" s="8" t="n">
        <v>8</v>
      </c>
      <c r="D36" s="8" t="s">
        <v>33</v>
      </c>
      <c r="E36" s="9" t="n">
        <v>45235</v>
      </c>
      <c r="F36" s="8" t="n">
        <f aca="true">IF(E36="","",ROUND((TODAY()-E36)/7,1))</f>
        <v>136</v>
      </c>
      <c r="G36" s="8" t="s">
        <v>38</v>
      </c>
      <c r="H36" s="8"/>
      <c r="I36" s="8" t="s">
        <v>200</v>
      </c>
      <c r="J36" s="8" t="s">
        <v>201</v>
      </c>
      <c r="K36" s="8" t="n">
        <v>2</v>
      </c>
      <c r="L36" s="10" t="s">
        <v>48</v>
      </c>
      <c r="M36" s="10" t="s">
        <v>48</v>
      </c>
      <c r="N36" s="10"/>
      <c r="O36" s="10"/>
      <c r="P36" s="8" t="str">
        <f aca="false">MID(IF(L36="","","; APP:"&amp;L36)&amp;IF(M36="","","; PS1:"&amp;M36)&amp;IF(N36="","","; AQP4:"&amp;N36)&amp;IF(O36="","","; CAG-EGFP:"&amp;O36),3,200)</f>
        <v>APP:+/-; PS1:+/-</v>
      </c>
      <c r="Q36" s="8" t="s">
        <v>47</v>
      </c>
      <c r="R36" s="8" t="s">
        <v>88</v>
      </c>
      <c r="S36" s="8"/>
      <c r="T36" s="8" t="s">
        <v>208</v>
      </c>
    </row>
    <row r="37" customFormat="false" ht="17.15" hidden="false" customHeight="false" outlineLevel="0" collapsed="false">
      <c r="A37" s="7" t="s">
        <v>209</v>
      </c>
      <c r="B37" s="8" t="s">
        <v>124</v>
      </c>
      <c r="C37" s="8" t="n">
        <v>9</v>
      </c>
      <c r="D37" s="8" t="s">
        <v>33</v>
      </c>
      <c r="E37" s="9" t="n">
        <v>45235</v>
      </c>
      <c r="F37" s="8" t="n">
        <f aca="true">IF(E37="","",ROUND((TODAY()-E37)/7,1))</f>
        <v>136</v>
      </c>
      <c r="G37" s="8" t="s">
        <v>38</v>
      </c>
      <c r="H37" s="8"/>
      <c r="I37" s="8" t="s">
        <v>200</v>
      </c>
      <c r="J37" s="8" t="s">
        <v>201</v>
      </c>
      <c r="K37" s="8" t="n">
        <v>2</v>
      </c>
      <c r="L37" s="10" t="s">
        <v>48</v>
      </c>
      <c r="M37" s="10" t="s">
        <v>48</v>
      </c>
      <c r="N37" s="10"/>
      <c r="O37" s="10"/>
      <c r="P37" s="8" t="str">
        <f aca="false">MID(IF(L37="","","; APP:"&amp;L37)&amp;IF(M37="","","; PS1:"&amp;M37)&amp;IF(N37="","","; AQP4:"&amp;N37)&amp;IF(O37="","","; CAG-EGFP:"&amp;O37),3,200)</f>
        <v>APP:+/-; PS1:+/-</v>
      </c>
      <c r="Q37" s="8" t="s">
        <v>47</v>
      </c>
      <c r="R37" s="8" t="s">
        <v>88</v>
      </c>
      <c r="S37" s="8"/>
      <c r="T37" s="8" t="s">
        <v>210</v>
      </c>
    </row>
    <row r="38" customFormat="false" ht="15" hidden="false" customHeight="false" outlineLevel="0" collapsed="false">
      <c r="A38" s="7" t="s">
        <v>211</v>
      </c>
      <c r="B38" s="8" t="s">
        <v>124</v>
      </c>
      <c r="C38" s="8" t="n">
        <v>10</v>
      </c>
      <c r="D38" s="8" t="s">
        <v>46</v>
      </c>
      <c r="E38" s="9" t="n">
        <v>45235</v>
      </c>
      <c r="F38" s="8" t="n">
        <f aca="true">IF(E38="","",ROUND((TODAY()-E38)/7,1))</f>
        <v>136</v>
      </c>
      <c r="G38" s="8" t="s">
        <v>38</v>
      </c>
      <c r="H38" s="8"/>
      <c r="I38" s="8" t="s">
        <v>200</v>
      </c>
      <c r="J38" s="8" t="s">
        <v>201</v>
      </c>
      <c r="K38" s="8" t="n">
        <v>2</v>
      </c>
      <c r="L38" s="10" t="s">
        <v>48</v>
      </c>
      <c r="M38" s="10" t="s">
        <v>48</v>
      </c>
      <c r="N38" s="10"/>
      <c r="O38" s="10"/>
      <c r="P38" s="8" t="str">
        <f aca="false">MID(IF(L38="","","; APP:"&amp;L38)&amp;IF(M38="","","; PS1:"&amp;M38)&amp;IF(N38="","","; AQP4:"&amp;N38)&amp;IF(O38="","","; CAG-EGFP:"&amp;O38),3,200)</f>
        <v>APP:+/-; PS1:+/-</v>
      </c>
      <c r="Q38" s="8" t="s">
        <v>47</v>
      </c>
      <c r="R38" s="8" t="s">
        <v>88</v>
      </c>
      <c r="S38" s="8"/>
      <c r="T38" s="8"/>
    </row>
    <row r="39" customFormat="false" ht="17.15" hidden="false" customHeight="false" outlineLevel="0" collapsed="false">
      <c r="A39" s="7" t="s">
        <v>212</v>
      </c>
      <c r="B39" s="8" t="s">
        <v>124</v>
      </c>
      <c r="C39" s="8" t="n">
        <v>11</v>
      </c>
      <c r="D39" s="8" t="s">
        <v>46</v>
      </c>
      <c r="E39" s="9" t="n">
        <v>45235</v>
      </c>
      <c r="F39" s="8" t="n">
        <f aca="true">IF(E39="","",ROUND((TODAY()-E39)/7,1))</f>
        <v>136</v>
      </c>
      <c r="G39" s="8" t="s">
        <v>38</v>
      </c>
      <c r="H39" s="8"/>
      <c r="I39" s="8" t="s">
        <v>200</v>
      </c>
      <c r="J39" s="8" t="s">
        <v>201</v>
      </c>
      <c r="K39" s="8" t="n">
        <v>2</v>
      </c>
      <c r="L39" s="10" t="s">
        <v>62</v>
      </c>
      <c r="M39" s="10" t="s">
        <v>62</v>
      </c>
      <c r="N39" s="10"/>
      <c r="O39" s="10"/>
      <c r="P39" s="8" t="str">
        <f aca="false">MID(IF(L39="","","; APP:"&amp;L39)&amp;IF(M39="","","; PS1:"&amp;M39)&amp;IF(N39="","","; AQP4:"&amp;N39)&amp;IF(O39="","","; CAG-EGFP:"&amp;O39),3,200)</f>
        <v>APP:-/-; PS1:-/-</v>
      </c>
      <c r="Q39" s="8" t="s">
        <v>47</v>
      </c>
      <c r="R39" s="8" t="s">
        <v>88</v>
      </c>
      <c r="S39" s="8"/>
      <c r="T39" s="8" t="s">
        <v>204</v>
      </c>
    </row>
    <row r="40" customFormat="false" ht="15" hidden="false" customHeight="false" outlineLevel="0" collapsed="false">
      <c r="A40" s="7" t="s">
        <v>213</v>
      </c>
      <c r="B40" s="8" t="s">
        <v>124</v>
      </c>
      <c r="C40" s="8" t="n">
        <v>12</v>
      </c>
      <c r="D40" s="8" t="s">
        <v>33</v>
      </c>
      <c r="E40" s="9" t="n">
        <v>45236</v>
      </c>
      <c r="F40" s="8" t="n">
        <f aca="true">IF(E40="","",ROUND((TODAY()-E40)/7,1))</f>
        <v>135.9</v>
      </c>
      <c r="G40" s="8" t="s">
        <v>38</v>
      </c>
      <c r="H40" s="8"/>
      <c r="I40" s="8" t="s">
        <v>200</v>
      </c>
      <c r="J40" s="8" t="s">
        <v>214</v>
      </c>
      <c r="K40" s="8" t="n">
        <v>2</v>
      </c>
      <c r="L40" s="10" t="s">
        <v>62</v>
      </c>
      <c r="M40" s="10" t="s">
        <v>62</v>
      </c>
      <c r="N40" s="10"/>
      <c r="O40" s="10"/>
      <c r="P40" s="8" t="str">
        <f aca="false">MID(IF(L40="","","; APP:"&amp;L40)&amp;IF(M40="","","; PS1:"&amp;M40)&amp;IF(N40="","","; AQP4:"&amp;N40)&amp;IF(O40="","","; CAG-EGFP:"&amp;O40),3,200)</f>
        <v>APP:-/-; PS1:-/-</v>
      </c>
      <c r="Q40" s="8" t="s">
        <v>47</v>
      </c>
      <c r="R40" s="8" t="s">
        <v>88</v>
      </c>
      <c r="S40" s="8"/>
      <c r="T40" s="8"/>
    </row>
    <row r="41" customFormat="false" ht="17.15" hidden="false" customHeight="false" outlineLevel="0" collapsed="false">
      <c r="A41" s="7" t="s">
        <v>215</v>
      </c>
      <c r="B41" s="8" t="s">
        <v>124</v>
      </c>
      <c r="C41" s="8" t="n">
        <v>13</v>
      </c>
      <c r="D41" s="8" t="s">
        <v>33</v>
      </c>
      <c r="E41" s="9" t="n">
        <v>45236</v>
      </c>
      <c r="F41" s="8" t="n">
        <f aca="true">IF(E41="","",ROUND((TODAY()-E41)/7,1))</f>
        <v>135.9</v>
      </c>
      <c r="G41" s="8" t="s">
        <v>38</v>
      </c>
      <c r="H41" s="8"/>
      <c r="I41" s="8" t="s">
        <v>200</v>
      </c>
      <c r="J41" s="8" t="s">
        <v>214</v>
      </c>
      <c r="K41" s="8" t="n">
        <v>2</v>
      </c>
      <c r="L41" s="10" t="s">
        <v>48</v>
      </c>
      <c r="M41" s="10" t="s">
        <v>48</v>
      </c>
      <c r="N41" s="10"/>
      <c r="O41" s="10"/>
      <c r="P41" s="8" t="str">
        <f aca="false">MID(IF(L41="","","; APP:"&amp;L41)&amp;IF(M41="","","; PS1:"&amp;M41)&amp;IF(N41="","","; AQP4:"&amp;N41)&amp;IF(O41="","","; CAG-EGFP:"&amp;O41),3,200)</f>
        <v>APP:+/-; PS1:+/-</v>
      </c>
      <c r="Q41" s="8" t="s">
        <v>47</v>
      </c>
      <c r="R41" s="8" t="s">
        <v>88</v>
      </c>
      <c r="S41" s="8"/>
      <c r="T41" s="8" t="s">
        <v>204</v>
      </c>
    </row>
    <row r="42" customFormat="false" ht="17.15" hidden="false" customHeight="false" outlineLevel="0" collapsed="false">
      <c r="A42" s="7" t="s">
        <v>216</v>
      </c>
      <c r="B42" s="8" t="s">
        <v>124</v>
      </c>
      <c r="C42" s="8" t="n">
        <v>14</v>
      </c>
      <c r="D42" s="8" t="s">
        <v>33</v>
      </c>
      <c r="E42" s="9" t="n">
        <v>45236</v>
      </c>
      <c r="F42" s="8" t="n">
        <f aca="true">IF(E42="","",ROUND((TODAY()-E42)/7,1))</f>
        <v>135.9</v>
      </c>
      <c r="G42" s="8" t="s">
        <v>38</v>
      </c>
      <c r="H42" s="8"/>
      <c r="I42" s="8" t="s">
        <v>200</v>
      </c>
      <c r="J42" s="8" t="s">
        <v>214</v>
      </c>
      <c r="K42" s="8" t="n">
        <v>2</v>
      </c>
      <c r="L42" s="10" t="s">
        <v>48</v>
      </c>
      <c r="M42" s="10" t="s">
        <v>48</v>
      </c>
      <c r="N42" s="10"/>
      <c r="O42" s="10"/>
      <c r="P42" s="8" t="str">
        <f aca="false">MID(IF(L42="","","; APP:"&amp;L42)&amp;IF(M42="","","; PS1:"&amp;M42)&amp;IF(N42="","","; AQP4:"&amp;N42)&amp;IF(O42="","","; CAG-EGFP:"&amp;O42),3,200)</f>
        <v>APP:+/-; PS1:+/-</v>
      </c>
      <c r="Q42" s="8" t="s">
        <v>47</v>
      </c>
      <c r="R42" s="8" t="s">
        <v>88</v>
      </c>
      <c r="S42" s="8"/>
      <c r="T42" s="8" t="s">
        <v>217</v>
      </c>
    </row>
    <row r="43" customFormat="false" ht="17.15" hidden="false" customHeight="false" outlineLevel="0" collapsed="false">
      <c r="A43" s="7" t="s">
        <v>218</v>
      </c>
      <c r="B43" s="8" t="s">
        <v>124</v>
      </c>
      <c r="C43" s="8" t="n">
        <v>15</v>
      </c>
      <c r="D43" s="8" t="s">
        <v>33</v>
      </c>
      <c r="E43" s="9" t="n">
        <v>45236</v>
      </c>
      <c r="F43" s="8" t="n">
        <f aca="true">IF(E43="","",ROUND((TODAY()-E43)/7,1))</f>
        <v>135.9</v>
      </c>
      <c r="G43" s="8" t="s">
        <v>38</v>
      </c>
      <c r="H43" s="8"/>
      <c r="I43" s="8" t="s">
        <v>200</v>
      </c>
      <c r="J43" s="8" t="s">
        <v>214</v>
      </c>
      <c r="K43" s="8" t="n">
        <v>2</v>
      </c>
      <c r="L43" s="10" t="s">
        <v>48</v>
      </c>
      <c r="M43" s="10" t="s">
        <v>48</v>
      </c>
      <c r="N43" s="10"/>
      <c r="O43" s="10"/>
      <c r="P43" s="8" t="str">
        <f aca="false">MID(IF(L43="","","; APP:"&amp;L43)&amp;IF(M43="","","; PS1:"&amp;M43)&amp;IF(N43="","","; AQP4:"&amp;N43)&amp;IF(O43="","","; CAG-EGFP:"&amp;O43),3,200)</f>
        <v>APP:+/-; PS1:+/-</v>
      </c>
      <c r="Q43" s="8" t="s">
        <v>47</v>
      </c>
      <c r="R43" s="8" t="s">
        <v>88</v>
      </c>
      <c r="S43" s="8"/>
      <c r="T43" s="8" t="s">
        <v>219</v>
      </c>
    </row>
    <row r="44" customFormat="false" ht="15" hidden="false" customHeight="false" outlineLevel="0" collapsed="false">
      <c r="A44" s="7" t="s">
        <v>220</v>
      </c>
      <c r="B44" s="8" t="s">
        <v>124</v>
      </c>
      <c r="C44" s="8" t="n">
        <v>16</v>
      </c>
      <c r="D44" s="8" t="s">
        <v>46</v>
      </c>
      <c r="E44" s="9" t="n">
        <v>45236</v>
      </c>
      <c r="F44" s="8" t="n">
        <f aca="true">IF(E44="","",ROUND((TODAY()-E44)/7,1))</f>
        <v>135.9</v>
      </c>
      <c r="G44" s="8" t="s">
        <v>38</v>
      </c>
      <c r="H44" s="8"/>
      <c r="I44" s="8" t="s">
        <v>200</v>
      </c>
      <c r="J44" s="8" t="s">
        <v>214</v>
      </c>
      <c r="K44" s="8" t="n">
        <v>2</v>
      </c>
      <c r="L44" s="10" t="s">
        <v>48</v>
      </c>
      <c r="M44" s="10" t="s">
        <v>48</v>
      </c>
      <c r="N44" s="10"/>
      <c r="O44" s="10"/>
      <c r="P44" s="8" t="str">
        <f aca="false">MID(IF(L44="","","; APP:"&amp;L44)&amp;IF(M44="","","; PS1:"&amp;M44)&amp;IF(N44="","","; AQP4:"&amp;N44)&amp;IF(O44="","","; CAG-EGFP:"&amp;O44),3,200)</f>
        <v>APP:+/-; PS1:+/-</v>
      </c>
      <c r="Q44" s="8" t="s">
        <v>47</v>
      </c>
      <c r="R44" s="8" t="s">
        <v>88</v>
      </c>
      <c r="S44" s="8"/>
      <c r="T44" s="8"/>
    </row>
    <row r="45" customFormat="false" ht="17.15" hidden="false" customHeight="false" outlineLevel="0" collapsed="false">
      <c r="A45" s="7" t="s">
        <v>221</v>
      </c>
      <c r="B45" s="8" t="s">
        <v>124</v>
      </c>
      <c r="C45" s="8" t="n">
        <v>17</v>
      </c>
      <c r="D45" s="8" t="s">
        <v>46</v>
      </c>
      <c r="E45" s="9" t="n">
        <v>45236</v>
      </c>
      <c r="F45" s="8" t="n">
        <f aca="true">IF(E45="","",ROUND((TODAY()-E45)/7,1))</f>
        <v>135.9</v>
      </c>
      <c r="G45" s="8" t="s">
        <v>38</v>
      </c>
      <c r="H45" s="8"/>
      <c r="I45" s="8" t="s">
        <v>200</v>
      </c>
      <c r="J45" s="8" t="s">
        <v>214</v>
      </c>
      <c r="K45" s="8" t="n">
        <v>2</v>
      </c>
      <c r="L45" s="10" t="s">
        <v>48</v>
      </c>
      <c r="M45" s="10" t="s">
        <v>48</v>
      </c>
      <c r="N45" s="10"/>
      <c r="O45" s="10"/>
      <c r="P45" s="8" t="str">
        <f aca="false">MID(IF(L45="","","; APP:"&amp;L45)&amp;IF(M45="","","; PS1:"&amp;M45)&amp;IF(N45="","","; AQP4:"&amp;N45)&amp;IF(O45="","","; CAG-EGFP:"&amp;O45),3,200)</f>
        <v>APP:+/-; PS1:+/-</v>
      </c>
      <c r="Q45" s="8" t="s">
        <v>47</v>
      </c>
      <c r="R45" s="8" t="s">
        <v>88</v>
      </c>
      <c r="S45" s="8"/>
      <c r="T45" s="8" t="s">
        <v>204</v>
      </c>
    </row>
    <row r="46" customFormat="false" ht="17.15" hidden="false" customHeight="false" outlineLevel="0" collapsed="false">
      <c r="A46" s="7" t="s">
        <v>222</v>
      </c>
      <c r="B46" s="8" t="s">
        <v>124</v>
      </c>
      <c r="C46" s="8" t="n">
        <v>18</v>
      </c>
      <c r="D46" s="8" t="s">
        <v>46</v>
      </c>
      <c r="E46" s="9" t="n">
        <v>45236</v>
      </c>
      <c r="F46" s="8" t="n">
        <f aca="true">IF(E46="","",ROUND((TODAY()-E46)/7,1))</f>
        <v>135.9</v>
      </c>
      <c r="G46" s="8" t="s">
        <v>38</v>
      </c>
      <c r="H46" s="8"/>
      <c r="I46" s="8" t="s">
        <v>200</v>
      </c>
      <c r="J46" s="8" t="s">
        <v>214</v>
      </c>
      <c r="K46" s="8" t="n">
        <v>2</v>
      </c>
      <c r="L46" s="10" t="s">
        <v>62</v>
      </c>
      <c r="M46" s="10" t="s">
        <v>62</v>
      </c>
      <c r="N46" s="10"/>
      <c r="O46" s="10"/>
      <c r="P46" s="8" t="str">
        <f aca="false">MID(IF(L46="","","; APP:"&amp;L46)&amp;IF(M46="","","; PS1:"&amp;M46)&amp;IF(N46="","","; AQP4:"&amp;N46)&amp;IF(O46="","","; CAG-EGFP:"&amp;O46),3,200)</f>
        <v>APP:-/-; PS1:-/-</v>
      </c>
      <c r="Q46" s="8" t="s">
        <v>47</v>
      </c>
      <c r="R46" s="8" t="s">
        <v>88</v>
      </c>
      <c r="S46" s="8"/>
      <c r="T46" s="8" t="s">
        <v>217</v>
      </c>
    </row>
    <row r="47" customFormat="false" ht="17.15" hidden="false" customHeight="false" outlineLevel="0" collapsed="false">
      <c r="A47" s="7" t="s">
        <v>223</v>
      </c>
      <c r="B47" s="8" t="s">
        <v>124</v>
      </c>
      <c r="C47" s="8" t="n">
        <v>19</v>
      </c>
      <c r="D47" s="8" t="s">
        <v>46</v>
      </c>
      <c r="E47" s="9" t="n">
        <v>45236</v>
      </c>
      <c r="F47" s="8" t="n">
        <f aca="true">IF(E47="","",ROUND((TODAY()-E47)/7,1))</f>
        <v>135.9</v>
      </c>
      <c r="G47" s="8" t="s">
        <v>38</v>
      </c>
      <c r="H47" s="8"/>
      <c r="I47" s="8" t="s">
        <v>200</v>
      </c>
      <c r="J47" s="8" t="s">
        <v>214</v>
      </c>
      <c r="K47" s="8" t="n">
        <v>2</v>
      </c>
      <c r="L47" s="10" t="s">
        <v>48</v>
      </c>
      <c r="M47" s="10" t="s">
        <v>48</v>
      </c>
      <c r="N47" s="10"/>
      <c r="O47" s="10"/>
      <c r="P47" s="8" t="str">
        <f aca="false">MID(IF(L47="","","; APP:"&amp;L47)&amp;IF(M47="","","; PS1:"&amp;M47)&amp;IF(N47="","","; AQP4:"&amp;N47)&amp;IF(O47="","","; CAG-EGFP:"&amp;O47),3,200)</f>
        <v>APP:+/-; PS1:+/-</v>
      </c>
      <c r="Q47" s="8" t="s">
        <v>47</v>
      </c>
      <c r="R47" s="8" t="s">
        <v>88</v>
      </c>
      <c r="S47" s="8"/>
      <c r="T47" s="8" t="s">
        <v>219</v>
      </c>
    </row>
    <row r="48" customFormat="false" ht="17.15" hidden="false" customHeight="false" outlineLevel="0" collapsed="false">
      <c r="A48" s="7" t="s">
        <v>224</v>
      </c>
      <c r="B48" s="8" t="s">
        <v>124</v>
      </c>
      <c r="C48" s="8" t="n">
        <v>20</v>
      </c>
      <c r="D48" s="8" t="s">
        <v>46</v>
      </c>
      <c r="E48" s="9" t="n">
        <v>45236</v>
      </c>
      <c r="F48" s="8" t="n">
        <f aca="true">IF(E48="","",ROUND((TODAY()-E48)/7,1))</f>
        <v>135.9</v>
      </c>
      <c r="G48" s="8" t="s">
        <v>38</v>
      </c>
      <c r="H48" s="8"/>
      <c r="I48" s="8" t="s">
        <v>200</v>
      </c>
      <c r="J48" s="8" t="s">
        <v>214</v>
      </c>
      <c r="K48" s="8" t="n">
        <v>2</v>
      </c>
      <c r="L48" s="10" t="s">
        <v>48</v>
      </c>
      <c r="M48" s="10" t="s">
        <v>48</v>
      </c>
      <c r="N48" s="10"/>
      <c r="O48" s="10"/>
      <c r="P48" s="8" t="str">
        <f aca="false">MID(IF(L48="","","; APP:"&amp;L48)&amp;IF(M48="","","; PS1:"&amp;M48)&amp;IF(N48="","","; AQP4:"&amp;N48)&amp;IF(O48="","","; CAG-EGFP:"&amp;O48),3,200)</f>
        <v>APP:+/-; PS1:+/-</v>
      </c>
      <c r="Q48" s="8" t="s">
        <v>47</v>
      </c>
      <c r="R48" s="8" t="s">
        <v>88</v>
      </c>
      <c r="S48" s="8"/>
      <c r="T48" s="8" t="s">
        <v>225</v>
      </c>
    </row>
    <row r="49" customFormat="false" ht="15" hidden="false" customHeight="false" outlineLevel="0" collapsed="false">
      <c r="A49" s="7" t="s">
        <v>226</v>
      </c>
      <c r="B49" s="8" t="s">
        <v>124</v>
      </c>
      <c r="C49" s="8" t="n">
        <v>21</v>
      </c>
      <c r="D49" s="8" t="s">
        <v>46</v>
      </c>
      <c r="E49" s="9" t="n">
        <v>45236</v>
      </c>
      <c r="F49" s="8" t="n">
        <f aca="true">IF(E49="","",ROUND((TODAY()-E49)/7,1))</f>
        <v>135.9</v>
      </c>
      <c r="G49" s="8" t="s">
        <v>38</v>
      </c>
      <c r="H49" s="8"/>
      <c r="I49" s="8" t="s">
        <v>227</v>
      </c>
      <c r="J49" s="8" t="s">
        <v>192</v>
      </c>
      <c r="K49" s="8" t="n">
        <v>2</v>
      </c>
      <c r="L49" s="10" t="s">
        <v>62</v>
      </c>
      <c r="M49" s="10" t="s">
        <v>62</v>
      </c>
      <c r="N49" s="10"/>
      <c r="O49" s="10"/>
      <c r="P49" s="8" t="str">
        <f aca="false">MID(IF(L49="","","; APP:"&amp;L49)&amp;IF(M49="","","; PS1:"&amp;M49)&amp;IF(N49="","","; AQP4:"&amp;N49)&amp;IF(O49="","","; CAG-EGFP:"&amp;O49),3,200)</f>
        <v>APP:-/-; PS1:-/-</v>
      </c>
      <c r="Q49" s="8" t="s">
        <v>47</v>
      </c>
      <c r="R49" s="8" t="s">
        <v>88</v>
      </c>
      <c r="S49" s="8"/>
      <c r="T49" s="8"/>
    </row>
    <row r="50" customFormat="false" ht="17.15" hidden="false" customHeight="false" outlineLevel="0" collapsed="false">
      <c r="A50" s="7" t="s">
        <v>228</v>
      </c>
      <c r="B50" s="8" t="s">
        <v>124</v>
      </c>
      <c r="C50" s="8" t="n">
        <v>22</v>
      </c>
      <c r="D50" s="8" t="s">
        <v>46</v>
      </c>
      <c r="E50" s="9" t="n">
        <v>45236</v>
      </c>
      <c r="F50" s="8" t="n">
        <f aca="true">IF(E50="","",ROUND((TODAY()-E50)/7,1))</f>
        <v>135.9</v>
      </c>
      <c r="G50" s="8" t="s">
        <v>38</v>
      </c>
      <c r="H50" s="8"/>
      <c r="I50" s="8" t="s">
        <v>227</v>
      </c>
      <c r="J50" s="8" t="s">
        <v>192</v>
      </c>
      <c r="K50" s="8" t="n">
        <v>2</v>
      </c>
      <c r="L50" s="10" t="s">
        <v>48</v>
      </c>
      <c r="M50" s="10" t="s">
        <v>48</v>
      </c>
      <c r="N50" s="10"/>
      <c r="O50" s="10"/>
      <c r="P50" s="8" t="str">
        <f aca="false">MID(IF(L50="","","; APP:"&amp;L50)&amp;IF(M50="","","; PS1:"&amp;M50)&amp;IF(N50="","","; AQP4:"&amp;N50)&amp;IF(O50="","","; CAG-EGFP:"&amp;O50),3,200)</f>
        <v>APP:+/-; PS1:+/-</v>
      </c>
      <c r="Q50" s="8" t="s">
        <v>47</v>
      </c>
      <c r="R50" s="8" t="s">
        <v>88</v>
      </c>
      <c r="S50" s="8"/>
      <c r="T50" s="8" t="s">
        <v>229</v>
      </c>
    </row>
    <row r="51" customFormat="false" ht="17.15" hidden="false" customHeight="false" outlineLevel="0" collapsed="false">
      <c r="A51" s="7" t="s">
        <v>230</v>
      </c>
      <c r="B51" s="8" t="s">
        <v>124</v>
      </c>
      <c r="C51" s="8" t="n">
        <v>23</v>
      </c>
      <c r="D51" s="8" t="s">
        <v>46</v>
      </c>
      <c r="E51" s="9" t="n">
        <v>45236</v>
      </c>
      <c r="F51" s="8" t="n">
        <f aca="true">IF(E51="","",ROUND((TODAY()-E51)/7,1))</f>
        <v>135.9</v>
      </c>
      <c r="G51" s="8" t="s">
        <v>38</v>
      </c>
      <c r="H51" s="8"/>
      <c r="I51" s="8" t="s">
        <v>227</v>
      </c>
      <c r="J51" s="8" t="s">
        <v>192</v>
      </c>
      <c r="K51" s="8" t="n">
        <v>2</v>
      </c>
      <c r="L51" s="10" t="s">
        <v>62</v>
      </c>
      <c r="M51" s="10" t="s">
        <v>62</v>
      </c>
      <c r="N51" s="10"/>
      <c r="O51" s="10"/>
      <c r="P51" s="8" t="str">
        <f aca="false">MID(IF(L51="","","; APP:"&amp;L51)&amp;IF(M51="","","; PS1:"&amp;M51)&amp;IF(N51="","","; AQP4:"&amp;N51)&amp;IF(O51="","","; CAG-EGFP:"&amp;O51),3,200)</f>
        <v>APP:-/-; PS1:-/-</v>
      </c>
      <c r="Q51" s="8" t="s">
        <v>47</v>
      </c>
      <c r="R51" s="8" t="s">
        <v>88</v>
      </c>
      <c r="S51" s="8"/>
      <c r="T51" s="8" t="s">
        <v>217</v>
      </c>
    </row>
    <row r="52" customFormat="false" ht="15" hidden="false" customHeight="false" outlineLevel="0" collapsed="false">
      <c r="A52" s="7" t="s">
        <v>231</v>
      </c>
      <c r="B52" s="8" t="s">
        <v>124</v>
      </c>
      <c r="C52" s="8" t="n">
        <v>24</v>
      </c>
      <c r="D52" s="8" t="s">
        <v>46</v>
      </c>
      <c r="E52" s="9" t="n">
        <v>45236</v>
      </c>
      <c r="F52" s="8" t="n">
        <f aca="true">IF(E52="","",ROUND((TODAY()-E52)/7,1))</f>
        <v>135.9</v>
      </c>
      <c r="G52" s="8" t="s">
        <v>38</v>
      </c>
      <c r="H52" s="8"/>
      <c r="I52" s="8" t="s">
        <v>227</v>
      </c>
      <c r="J52" s="8" t="s">
        <v>192</v>
      </c>
      <c r="K52" s="8" t="n">
        <v>2</v>
      </c>
      <c r="L52" s="10" t="s">
        <v>48</v>
      </c>
      <c r="M52" s="10" t="s">
        <v>48</v>
      </c>
      <c r="N52" s="10"/>
      <c r="O52" s="10"/>
      <c r="P52" s="8" t="str">
        <f aca="false">MID(IF(L52="","","; APP:"&amp;L52)&amp;IF(M52="","","; PS1:"&amp;M52)&amp;IF(N52="","","; AQP4:"&amp;N52)&amp;IF(O52="","","; CAG-EGFP:"&amp;O52),3,200)</f>
        <v>APP:+/-; PS1:+/-</v>
      </c>
      <c r="Q52" s="8" t="s">
        <v>47</v>
      </c>
      <c r="R52" s="8" t="s">
        <v>88</v>
      </c>
      <c r="S52" s="8"/>
      <c r="T52" s="11" t="s">
        <v>232</v>
      </c>
    </row>
    <row r="53" customFormat="false" ht="17.15" hidden="false" customHeight="false" outlineLevel="0" collapsed="false">
      <c r="A53" s="7" t="s">
        <v>233</v>
      </c>
      <c r="B53" s="8" t="s">
        <v>124</v>
      </c>
      <c r="C53" s="8" t="n">
        <v>25</v>
      </c>
      <c r="D53" s="8" t="s">
        <v>46</v>
      </c>
      <c r="E53" s="9" t="n">
        <v>45236</v>
      </c>
      <c r="F53" s="8" t="n">
        <f aca="true">IF(E53="","",ROUND((TODAY()-E53)/7,1))</f>
        <v>135.9</v>
      </c>
      <c r="G53" s="8" t="s">
        <v>38</v>
      </c>
      <c r="H53" s="8"/>
      <c r="I53" s="8" t="s">
        <v>227</v>
      </c>
      <c r="J53" s="8" t="s">
        <v>192</v>
      </c>
      <c r="K53" s="8" t="n">
        <v>2</v>
      </c>
      <c r="L53" s="10" t="s">
        <v>48</v>
      </c>
      <c r="M53" s="10" t="s">
        <v>48</v>
      </c>
      <c r="N53" s="10"/>
      <c r="O53" s="10"/>
      <c r="P53" s="8" t="str">
        <f aca="false">MID(IF(L53="","","; APP:"&amp;L53)&amp;IF(M53="","","; PS1:"&amp;M53)&amp;IF(N53="","","; AQP4:"&amp;N53)&amp;IF(O53="","","; CAG-EGFP:"&amp;O53),3,200)</f>
        <v>APP:+/-; PS1:+/-</v>
      </c>
      <c r="Q53" s="8" t="s">
        <v>47</v>
      </c>
      <c r="R53" s="8" t="s">
        <v>88</v>
      </c>
      <c r="S53" s="8"/>
      <c r="T53" s="11" t="s">
        <v>234</v>
      </c>
    </row>
    <row r="54" customFormat="false" ht="17.15" hidden="false" customHeight="false" outlineLevel="0" collapsed="false">
      <c r="A54" s="7" t="s">
        <v>235</v>
      </c>
      <c r="B54" s="8" t="s">
        <v>124</v>
      </c>
      <c r="C54" s="8" t="n">
        <v>26</v>
      </c>
      <c r="D54" s="8" t="s">
        <v>46</v>
      </c>
      <c r="E54" s="9" t="n">
        <v>45236</v>
      </c>
      <c r="F54" s="8" t="n">
        <f aca="true">IF(E54="","",ROUND((TODAY()-E54)/7,1))</f>
        <v>135.9</v>
      </c>
      <c r="G54" s="8" t="s">
        <v>38</v>
      </c>
      <c r="H54" s="8"/>
      <c r="I54" s="8" t="s">
        <v>227</v>
      </c>
      <c r="J54" s="8" t="s">
        <v>192</v>
      </c>
      <c r="K54" s="8" t="n">
        <v>2</v>
      </c>
      <c r="L54" s="10" t="s">
        <v>48</v>
      </c>
      <c r="M54" s="10" t="s">
        <v>48</v>
      </c>
      <c r="N54" s="10"/>
      <c r="O54" s="10"/>
      <c r="P54" s="8" t="str">
        <f aca="false">MID(IF(L54="","","; APP:"&amp;L54)&amp;IF(M54="","","; PS1:"&amp;M54)&amp;IF(N54="","","; AQP4:"&amp;N54)&amp;IF(O54="","","; CAG-EGFP:"&amp;O54),3,200)</f>
        <v>APP:+/-; PS1:+/-</v>
      </c>
      <c r="Q54" s="8" t="s">
        <v>47</v>
      </c>
      <c r="R54" s="8" t="s">
        <v>88</v>
      </c>
      <c r="S54" s="8"/>
      <c r="T54" s="8" t="s">
        <v>236</v>
      </c>
    </row>
    <row r="55" customFormat="false" ht="17.15" hidden="false" customHeight="false" outlineLevel="0" collapsed="false">
      <c r="A55" s="7" t="s">
        <v>237</v>
      </c>
      <c r="B55" s="8" t="s">
        <v>124</v>
      </c>
      <c r="C55" s="8" t="n">
        <v>27</v>
      </c>
      <c r="D55" s="8" t="s">
        <v>46</v>
      </c>
      <c r="E55" s="9" t="n">
        <v>45236</v>
      </c>
      <c r="F55" s="8" t="n">
        <f aca="true">IF(E55="","",ROUND((TODAY()-E55)/7,1))</f>
        <v>135.9</v>
      </c>
      <c r="G55" s="8" t="s">
        <v>38</v>
      </c>
      <c r="H55" s="8"/>
      <c r="I55" s="8" t="s">
        <v>227</v>
      </c>
      <c r="J55" s="8" t="s">
        <v>192</v>
      </c>
      <c r="K55" s="8" t="n">
        <v>2</v>
      </c>
      <c r="L55" s="10" t="s">
        <v>62</v>
      </c>
      <c r="M55" s="10" t="s">
        <v>62</v>
      </c>
      <c r="N55" s="10"/>
      <c r="O55" s="10"/>
      <c r="P55" s="8" t="str">
        <f aca="false">MID(IF(L55="","","; APP:"&amp;L55)&amp;IF(M55="","","; PS1:"&amp;M55)&amp;IF(N55="","","; AQP4:"&amp;N55)&amp;IF(O55="","","; CAG-EGFP:"&amp;O55),3,200)</f>
        <v>APP:-/-; PS1:-/-</v>
      </c>
      <c r="Q55" s="8" t="s">
        <v>47</v>
      </c>
      <c r="R55" s="8" t="s">
        <v>88</v>
      </c>
      <c r="S55" s="8"/>
      <c r="T55" s="8" t="s">
        <v>219</v>
      </c>
    </row>
    <row r="56" customFormat="false" ht="15" hidden="false" customHeight="false" outlineLevel="0" collapsed="false">
      <c r="A56" s="7" t="s">
        <v>238</v>
      </c>
      <c r="B56" s="8" t="s">
        <v>124</v>
      </c>
      <c r="C56" s="8" t="n">
        <v>28</v>
      </c>
      <c r="D56" s="8" t="s">
        <v>33</v>
      </c>
      <c r="E56" s="9" t="n">
        <v>45238</v>
      </c>
      <c r="F56" s="8" t="n">
        <f aca="true">IF(E56="","",ROUND((TODAY()-E56)/7,1))</f>
        <v>135.6</v>
      </c>
      <c r="G56" s="8" t="s">
        <v>38</v>
      </c>
      <c r="H56" s="8"/>
      <c r="I56" s="8" t="s">
        <v>227</v>
      </c>
      <c r="J56" s="8" t="s">
        <v>192</v>
      </c>
      <c r="K56" s="8" t="n">
        <v>2</v>
      </c>
      <c r="L56" s="10" t="s">
        <v>62</v>
      </c>
      <c r="M56" s="10" t="s">
        <v>62</v>
      </c>
      <c r="N56" s="10"/>
      <c r="O56" s="10"/>
      <c r="P56" s="8" t="str">
        <f aca="false">MID(IF(L56="","","; APP:"&amp;L56)&amp;IF(M56="","","; PS1:"&amp;M56)&amp;IF(N56="","","; AQP4:"&amp;N56)&amp;IF(O56="","","; CAG-EGFP:"&amp;O56),3,200)</f>
        <v>APP:-/-; PS1:-/-</v>
      </c>
      <c r="Q56" s="8" t="s">
        <v>47</v>
      </c>
      <c r="R56" s="8" t="s">
        <v>88</v>
      </c>
      <c r="S56" s="8"/>
      <c r="T56" s="8"/>
    </row>
    <row r="57" customFormat="false" ht="17.15" hidden="false" customHeight="false" outlineLevel="0" collapsed="false">
      <c r="A57" s="7" t="s">
        <v>239</v>
      </c>
      <c r="B57" s="8" t="s">
        <v>124</v>
      </c>
      <c r="C57" s="8" t="n">
        <v>29</v>
      </c>
      <c r="D57" s="8" t="s">
        <v>33</v>
      </c>
      <c r="E57" s="9" t="n">
        <v>45238</v>
      </c>
      <c r="F57" s="8" t="n">
        <f aca="true">IF(E57="","",ROUND((TODAY()-E57)/7,1))</f>
        <v>135.6</v>
      </c>
      <c r="G57" s="8" t="s">
        <v>38</v>
      </c>
      <c r="H57" s="8"/>
      <c r="I57" s="8" t="s">
        <v>227</v>
      </c>
      <c r="J57" s="8" t="s">
        <v>192</v>
      </c>
      <c r="K57" s="8" t="n">
        <v>2</v>
      </c>
      <c r="L57" s="10" t="s">
        <v>62</v>
      </c>
      <c r="M57" s="10" t="s">
        <v>62</v>
      </c>
      <c r="N57" s="10"/>
      <c r="O57" s="10"/>
      <c r="P57" s="8" t="str">
        <f aca="false">MID(IF(L57="","","; APP:"&amp;L57)&amp;IF(M57="","","; PS1:"&amp;M57)&amp;IF(N57="","","; AQP4:"&amp;N57)&amp;IF(O57="","","; CAG-EGFP:"&amp;O57),3,200)</f>
        <v>APP:-/-; PS1:-/-</v>
      </c>
      <c r="Q57" s="8" t="s">
        <v>47</v>
      </c>
      <c r="R57" s="8" t="s">
        <v>88</v>
      </c>
      <c r="S57" s="8"/>
      <c r="T57" s="8" t="s">
        <v>204</v>
      </c>
    </row>
    <row r="58" customFormat="false" ht="17.15" hidden="false" customHeight="false" outlineLevel="0" collapsed="false">
      <c r="A58" s="7" t="s">
        <v>240</v>
      </c>
      <c r="B58" s="8" t="s">
        <v>124</v>
      </c>
      <c r="C58" s="8" t="n">
        <v>30</v>
      </c>
      <c r="D58" s="8" t="s">
        <v>33</v>
      </c>
      <c r="E58" s="9" t="n">
        <v>45238</v>
      </c>
      <c r="F58" s="8" t="n">
        <f aca="true">IF(E58="","",ROUND((TODAY()-E58)/7,1))</f>
        <v>135.6</v>
      </c>
      <c r="G58" s="8" t="s">
        <v>38</v>
      </c>
      <c r="H58" s="8"/>
      <c r="I58" s="8" t="s">
        <v>227</v>
      </c>
      <c r="J58" s="8" t="s">
        <v>192</v>
      </c>
      <c r="K58" s="8" t="n">
        <v>2</v>
      </c>
      <c r="L58" s="10" t="s">
        <v>48</v>
      </c>
      <c r="M58" s="10" t="s">
        <v>48</v>
      </c>
      <c r="N58" s="10"/>
      <c r="O58" s="10"/>
      <c r="P58" s="8" t="str">
        <f aca="false">MID(IF(L58="","","; APP:"&amp;L58)&amp;IF(M58="","","; PS1:"&amp;M58)&amp;IF(N58="","","; AQP4:"&amp;N58)&amp;IF(O58="","","; CAG-EGFP:"&amp;O58),3,200)</f>
        <v>APP:+/-; PS1:+/-</v>
      </c>
      <c r="Q58" s="8" t="s">
        <v>47</v>
      </c>
      <c r="R58" s="8" t="s">
        <v>88</v>
      </c>
      <c r="S58" s="8"/>
      <c r="T58" s="8" t="s">
        <v>206</v>
      </c>
    </row>
    <row r="59" customFormat="false" ht="17.15" hidden="false" customHeight="false" outlineLevel="0" collapsed="false">
      <c r="A59" s="7" t="s">
        <v>241</v>
      </c>
      <c r="B59" s="8" t="s">
        <v>124</v>
      </c>
      <c r="C59" s="8" t="n">
        <v>31</v>
      </c>
      <c r="D59" s="8" t="s">
        <v>33</v>
      </c>
      <c r="E59" s="9" t="n">
        <v>45238</v>
      </c>
      <c r="F59" s="8" t="n">
        <f aca="true">IF(E59="","",ROUND((TODAY()-E59)/7,1))</f>
        <v>135.6</v>
      </c>
      <c r="G59" s="8" t="s">
        <v>38</v>
      </c>
      <c r="H59" s="8"/>
      <c r="I59" s="8" t="s">
        <v>227</v>
      </c>
      <c r="J59" s="8" t="s">
        <v>192</v>
      </c>
      <c r="K59" s="8" t="n">
        <v>2</v>
      </c>
      <c r="L59" s="10" t="s">
        <v>48</v>
      </c>
      <c r="M59" s="10" t="s">
        <v>48</v>
      </c>
      <c r="N59" s="10"/>
      <c r="O59" s="10"/>
      <c r="P59" s="8" t="str">
        <f aca="false">MID(IF(L59="","","; APP:"&amp;L59)&amp;IF(M59="","","; PS1:"&amp;M59)&amp;IF(N59="","","; AQP4:"&amp;N59)&amp;IF(O59="","","; CAG-EGFP:"&amp;O59),3,200)</f>
        <v>APP:+/-; PS1:+/-</v>
      </c>
      <c r="Q59" s="8" t="s">
        <v>47</v>
      </c>
      <c r="R59" s="8" t="s">
        <v>88</v>
      </c>
      <c r="S59" s="8"/>
      <c r="T59" s="8" t="s">
        <v>242</v>
      </c>
    </row>
    <row r="60" customFormat="false" ht="17.15" hidden="false" customHeight="false" outlineLevel="0" collapsed="false">
      <c r="A60" s="7" t="s">
        <v>243</v>
      </c>
      <c r="B60" s="8" t="s">
        <v>124</v>
      </c>
      <c r="C60" s="8" t="n">
        <v>32</v>
      </c>
      <c r="D60" s="8" t="s">
        <v>33</v>
      </c>
      <c r="E60" s="9" t="n">
        <v>45238</v>
      </c>
      <c r="F60" s="8" t="n">
        <f aca="true">IF(E60="","",ROUND((TODAY()-E60)/7,1))</f>
        <v>135.6</v>
      </c>
      <c r="G60" s="8" t="s">
        <v>38</v>
      </c>
      <c r="H60" s="8"/>
      <c r="I60" s="8" t="s">
        <v>227</v>
      </c>
      <c r="J60" s="8" t="s">
        <v>192</v>
      </c>
      <c r="K60" s="8" t="n">
        <v>2</v>
      </c>
      <c r="L60" s="10" t="s">
        <v>62</v>
      </c>
      <c r="M60" s="10" t="s">
        <v>62</v>
      </c>
      <c r="N60" s="10"/>
      <c r="O60" s="10"/>
      <c r="P60" s="8" t="str">
        <f aca="false">MID(IF(L60="","","; APP:"&amp;L60)&amp;IF(M60="","","; PS1:"&amp;M60)&amp;IF(N60="","","; AQP4:"&amp;N60)&amp;IF(O60="","","; CAG-EGFP:"&amp;O60),3,200)</f>
        <v>APP:-/-; PS1:-/-</v>
      </c>
      <c r="Q60" s="8" t="s">
        <v>47</v>
      </c>
      <c r="R60" s="8" t="s">
        <v>88</v>
      </c>
      <c r="S60" s="8"/>
      <c r="T60" s="8" t="s">
        <v>225</v>
      </c>
    </row>
    <row r="61" customFormat="false" ht="15" hidden="false" customHeight="false" outlineLevel="0" collapsed="false">
      <c r="A61" s="7" t="s">
        <v>244</v>
      </c>
      <c r="B61" s="8" t="s">
        <v>124</v>
      </c>
      <c r="C61" s="8" t="n">
        <v>33</v>
      </c>
      <c r="D61" s="8" t="s">
        <v>46</v>
      </c>
      <c r="E61" s="9" t="n">
        <v>45238</v>
      </c>
      <c r="F61" s="8" t="n">
        <f aca="true">IF(E61="","",ROUND((TODAY()-E61)/7,1))</f>
        <v>135.6</v>
      </c>
      <c r="G61" s="8" t="s">
        <v>38</v>
      </c>
      <c r="H61" s="8"/>
      <c r="I61" s="8" t="s">
        <v>227</v>
      </c>
      <c r="J61" s="8" t="s">
        <v>192</v>
      </c>
      <c r="K61" s="8" t="n">
        <v>2</v>
      </c>
      <c r="L61" s="10" t="s">
        <v>62</v>
      </c>
      <c r="M61" s="10" t="s">
        <v>62</v>
      </c>
      <c r="N61" s="10"/>
      <c r="O61" s="10"/>
      <c r="P61" s="8" t="str">
        <f aca="false">MID(IF(L61="","","; APP:"&amp;L61)&amp;IF(M61="","","; PS1:"&amp;M61)&amp;IF(N61="","","; AQP4:"&amp;N61)&amp;IF(O61="","","; CAG-EGFP:"&amp;O61),3,200)</f>
        <v>APP:-/-; PS1:-/-</v>
      </c>
      <c r="Q61" s="8" t="s">
        <v>47</v>
      </c>
      <c r="R61" s="8" t="s">
        <v>88</v>
      </c>
      <c r="S61" s="8"/>
      <c r="T61" s="8"/>
    </row>
    <row r="62" customFormat="false" ht="17.15" hidden="false" customHeight="false" outlineLevel="0" collapsed="false">
      <c r="A62" s="7" t="s">
        <v>245</v>
      </c>
      <c r="B62" s="8" t="s">
        <v>124</v>
      </c>
      <c r="C62" s="8" t="n">
        <v>34</v>
      </c>
      <c r="D62" s="8" t="s">
        <v>46</v>
      </c>
      <c r="E62" s="9" t="n">
        <v>45238</v>
      </c>
      <c r="F62" s="8" t="n">
        <f aca="true">IF(E62="","",ROUND((TODAY()-E62)/7,1))</f>
        <v>135.6</v>
      </c>
      <c r="G62" s="8" t="s">
        <v>38</v>
      </c>
      <c r="H62" s="8"/>
      <c r="I62" s="8" t="s">
        <v>227</v>
      </c>
      <c r="J62" s="8" t="s">
        <v>192</v>
      </c>
      <c r="K62" s="8" t="n">
        <v>2</v>
      </c>
      <c r="L62" s="10" t="s">
        <v>62</v>
      </c>
      <c r="M62" s="10" t="s">
        <v>62</v>
      </c>
      <c r="N62" s="10"/>
      <c r="O62" s="10"/>
      <c r="P62" s="8" t="str">
        <f aca="false">MID(IF(L62="","","; APP:"&amp;L62)&amp;IF(M62="","","; PS1:"&amp;M62)&amp;IF(N62="","","; AQP4:"&amp;N62)&amp;IF(O62="","","; CAG-EGFP:"&amp;O62),3,200)</f>
        <v>APP:-/-; PS1:-/-</v>
      </c>
      <c r="Q62" s="8" t="s">
        <v>47</v>
      </c>
      <c r="R62" s="8" t="s">
        <v>88</v>
      </c>
      <c r="S62" s="8"/>
      <c r="T62" s="8" t="s">
        <v>204</v>
      </c>
    </row>
    <row r="63" customFormat="false" ht="15" hidden="false" customHeight="false" outlineLevel="0" collapsed="false">
      <c r="A63" s="7" t="s">
        <v>246</v>
      </c>
      <c r="B63" s="8" t="s">
        <v>124</v>
      </c>
      <c r="C63" s="8" t="n">
        <v>35</v>
      </c>
      <c r="D63" s="8" t="s">
        <v>33</v>
      </c>
      <c r="E63" s="9" t="n">
        <v>45329</v>
      </c>
      <c r="F63" s="8" t="n">
        <f aca="true">IF(E63="","",ROUND((TODAY()-E63)/7,1))</f>
        <v>122.6</v>
      </c>
      <c r="G63" s="8" t="s">
        <v>38</v>
      </c>
      <c r="H63" s="8"/>
      <c r="I63" s="8" t="s">
        <v>247</v>
      </c>
      <c r="J63" s="8" t="s">
        <v>192</v>
      </c>
      <c r="K63" s="8" t="n">
        <v>2</v>
      </c>
      <c r="L63" s="10" t="s">
        <v>62</v>
      </c>
      <c r="M63" s="10" t="s">
        <v>62</v>
      </c>
      <c r="N63" s="10"/>
      <c r="O63" s="10"/>
      <c r="P63" s="8" t="str">
        <f aca="false">MID(IF(L63="","","; APP:"&amp;L63)&amp;IF(M63="","","; PS1:"&amp;M63)&amp;IF(N63="","","; AQP4:"&amp;N63)&amp;IF(O63="","","; CAG-EGFP:"&amp;O63),3,200)</f>
        <v>APP:-/-; PS1:-/-</v>
      </c>
      <c r="Q63" s="8" t="s">
        <v>47</v>
      </c>
      <c r="R63" s="8" t="s">
        <v>88</v>
      </c>
      <c r="S63" s="8"/>
      <c r="T63" s="8" t="s">
        <v>151</v>
      </c>
    </row>
    <row r="64" customFormat="false" ht="15" hidden="false" customHeight="false" outlineLevel="0" collapsed="false">
      <c r="A64" s="7" t="s">
        <v>248</v>
      </c>
      <c r="B64" s="8" t="s">
        <v>124</v>
      </c>
      <c r="C64" s="8" t="n">
        <v>36</v>
      </c>
      <c r="D64" s="8" t="s">
        <v>33</v>
      </c>
      <c r="E64" s="9" t="n">
        <v>45329</v>
      </c>
      <c r="F64" s="8" t="n">
        <f aca="true">IF(E64="","",ROUND((TODAY()-E64)/7,1))</f>
        <v>122.6</v>
      </c>
      <c r="G64" s="8" t="s">
        <v>38</v>
      </c>
      <c r="H64" s="8"/>
      <c r="I64" s="8" t="s">
        <v>247</v>
      </c>
      <c r="J64" s="8" t="s">
        <v>192</v>
      </c>
      <c r="K64" s="8" t="n">
        <v>2</v>
      </c>
      <c r="L64" s="10" t="s">
        <v>62</v>
      </c>
      <c r="M64" s="10" t="s">
        <v>62</v>
      </c>
      <c r="N64" s="10"/>
      <c r="O64" s="10"/>
      <c r="P64" s="8" t="str">
        <f aca="false">MID(IF(L64="","","; APP:"&amp;L64)&amp;IF(M64="","","; PS1:"&amp;M64)&amp;IF(N64="","","; AQP4:"&amp;N64)&amp;IF(O64="","","; CAG-EGFP:"&amp;O64),3,200)</f>
        <v>APP:-/-; PS1:-/-</v>
      </c>
      <c r="Q64" s="8" t="s">
        <v>47</v>
      </c>
      <c r="R64" s="8" t="s">
        <v>88</v>
      </c>
      <c r="S64" s="8"/>
      <c r="T64" s="8" t="s">
        <v>151</v>
      </c>
    </row>
    <row r="65" customFormat="false" ht="15" hidden="false" customHeight="false" outlineLevel="0" collapsed="false">
      <c r="A65" s="7" t="s">
        <v>249</v>
      </c>
      <c r="B65" s="8" t="s">
        <v>124</v>
      </c>
      <c r="C65" s="8" t="n">
        <v>37</v>
      </c>
      <c r="D65" s="8" t="s">
        <v>33</v>
      </c>
      <c r="E65" s="9" t="n">
        <v>45329</v>
      </c>
      <c r="F65" s="8" t="n">
        <f aca="true">IF(E65="","",ROUND((TODAY()-E65)/7,1))</f>
        <v>122.6</v>
      </c>
      <c r="G65" s="8" t="s">
        <v>38</v>
      </c>
      <c r="H65" s="8"/>
      <c r="I65" s="8" t="s">
        <v>247</v>
      </c>
      <c r="J65" s="8" t="s">
        <v>192</v>
      </c>
      <c r="K65" s="8" t="n">
        <v>2</v>
      </c>
      <c r="L65" s="10" t="s">
        <v>62</v>
      </c>
      <c r="M65" s="10" t="s">
        <v>62</v>
      </c>
      <c r="N65" s="10"/>
      <c r="O65" s="10"/>
      <c r="P65" s="8" t="str">
        <f aca="false">MID(IF(L65="","","; APP:"&amp;L65)&amp;IF(M65="","","; PS1:"&amp;M65)&amp;IF(N65="","","; AQP4:"&amp;N65)&amp;IF(O65="","","; CAG-EGFP:"&amp;O65),3,200)</f>
        <v>APP:-/-; PS1:-/-</v>
      </c>
      <c r="Q65" s="8" t="s">
        <v>47</v>
      </c>
      <c r="R65" s="8" t="s">
        <v>88</v>
      </c>
      <c r="S65" s="8"/>
      <c r="T65" s="8" t="s">
        <v>151</v>
      </c>
    </row>
    <row r="66" customFormat="false" ht="15" hidden="false" customHeight="false" outlineLevel="0" collapsed="false">
      <c r="A66" s="7" t="s">
        <v>250</v>
      </c>
      <c r="B66" s="8" t="s">
        <v>124</v>
      </c>
      <c r="C66" s="8" t="n">
        <v>38</v>
      </c>
      <c r="D66" s="8" t="s">
        <v>33</v>
      </c>
      <c r="E66" s="9" t="n">
        <v>45329</v>
      </c>
      <c r="F66" s="8" t="n">
        <f aca="true">IF(E66="","",ROUND((TODAY()-E66)/7,1))</f>
        <v>122.6</v>
      </c>
      <c r="G66" s="8" t="s">
        <v>38</v>
      </c>
      <c r="H66" s="8"/>
      <c r="I66" s="8" t="s">
        <v>247</v>
      </c>
      <c r="J66" s="8" t="s">
        <v>192</v>
      </c>
      <c r="K66" s="8" t="n">
        <v>2</v>
      </c>
      <c r="L66" s="10" t="s">
        <v>62</v>
      </c>
      <c r="M66" s="10" t="s">
        <v>62</v>
      </c>
      <c r="N66" s="10"/>
      <c r="O66" s="10"/>
      <c r="P66" s="8" t="str">
        <f aca="false">MID(IF(L66="","","; APP:"&amp;L66)&amp;IF(M66="","","; PS1:"&amp;M66)&amp;IF(N66="","","; AQP4:"&amp;N66)&amp;IF(O66="","","; CAG-EGFP:"&amp;O66),3,200)</f>
        <v>APP:-/-; PS1:-/-</v>
      </c>
      <c r="Q66" s="8" t="s">
        <v>47</v>
      </c>
      <c r="R66" s="8" t="s">
        <v>88</v>
      </c>
      <c r="S66" s="8"/>
      <c r="T66" s="8" t="s">
        <v>151</v>
      </c>
    </row>
    <row r="67" customFormat="false" ht="15" hidden="false" customHeight="false" outlineLevel="0" collapsed="false">
      <c r="A67" s="7" t="s">
        <v>251</v>
      </c>
      <c r="B67" s="8" t="s">
        <v>124</v>
      </c>
      <c r="C67" s="8" t="n">
        <v>39</v>
      </c>
      <c r="D67" s="8" t="s">
        <v>33</v>
      </c>
      <c r="E67" s="9" t="n">
        <v>45329</v>
      </c>
      <c r="F67" s="8" t="n">
        <f aca="true">IF(E67="","",ROUND((TODAY()-E67)/7,1))</f>
        <v>122.6</v>
      </c>
      <c r="G67" s="8" t="s">
        <v>38</v>
      </c>
      <c r="H67" s="8"/>
      <c r="I67" s="8" t="s">
        <v>247</v>
      </c>
      <c r="J67" s="8" t="s">
        <v>192</v>
      </c>
      <c r="K67" s="8" t="n">
        <v>2</v>
      </c>
      <c r="L67" s="10" t="s">
        <v>48</v>
      </c>
      <c r="M67" s="10" t="s">
        <v>48</v>
      </c>
      <c r="N67" s="10"/>
      <c r="O67" s="10"/>
      <c r="P67" s="8" t="str">
        <f aca="false">MID(IF(L67="","","; APP:"&amp;L67)&amp;IF(M67="","","; PS1:"&amp;M67)&amp;IF(N67="","","; AQP4:"&amp;N67)&amp;IF(O67="","","; CAG-EGFP:"&amp;O67),3,200)</f>
        <v>APP:+/-; PS1:+/-</v>
      </c>
      <c r="Q67" s="8" t="s">
        <v>47</v>
      </c>
      <c r="R67" s="8" t="s">
        <v>88</v>
      </c>
      <c r="S67" s="8"/>
      <c r="T67" s="8" t="s">
        <v>151</v>
      </c>
    </row>
    <row r="68" customFormat="false" ht="17.15" hidden="false" customHeight="false" outlineLevel="0" collapsed="false">
      <c r="A68" s="7" t="s">
        <v>252</v>
      </c>
      <c r="B68" s="8" t="s">
        <v>124</v>
      </c>
      <c r="C68" s="8" t="n">
        <v>40</v>
      </c>
      <c r="D68" s="8" t="s">
        <v>46</v>
      </c>
      <c r="E68" s="9" t="n">
        <v>45329</v>
      </c>
      <c r="F68" s="8" t="n">
        <f aca="true">IF(E68="","",ROUND((TODAY()-E68)/7,1))</f>
        <v>122.6</v>
      </c>
      <c r="G68" s="8" t="s">
        <v>38</v>
      </c>
      <c r="H68" s="8"/>
      <c r="I68" s="8" t="s">
        <v>247</v>
      </c>
      <c r="J68" s="8" t="s">
        <v>192</v>
      </c>
      <c r="K68" s="8" t="n">
        <v>2</v>
      </c>
      <c r="L68" s="10" t="s">
        <v>48</v>
      </c>
      <c r="M68" s="10" t="s">
        <v>48</v>
      </c>
      <c r="N68" s="10"/>
      <c r="O68" s="10"/>
      <c r="P68" s="8" t="str">
        <f aca="false">MID(IF(L68="","","; APP:"&amp;L68)&amp;IF(M68="","","; PS1:"&amp;M68)&amp;IF(N68="","","; AQP4:"&amp;N68)&amp;IF(O68="","","; CAG-EGFP:"&amp;O68),3,200)</f>
        <v>APP:+/-; PS1:+/-</v>
      </c>
      <c r="Q68" s="8" t="s">
        <v>47</v>
      </c>
      <c r="R68" s="8" t="s">
        <v>88</v>
      </c>
      <c r="S68" s="8"/>
      <c r="T68" s="8" t="s">
        <v>253</v>
      </c>
    </row>
    <row r="69" customFormat="false" ht="17.15" hidden="false" customHeight="false" outlineLevel="0" collapsed="false">
      <c r="A69" s="7" t="s">
        <v>254</v>
      </c>
      <c r="B69" s="8" t="s">
        <v>124</v>
      </c>
      <c r="C69" s="8" t="n">
        <v>41</v>
      </c>
      <c r="D69" s="8" t="s">
        <v>33</v>
      </c>
      <c r="E69" s="9" t="n">
        <v>45329</v>
      </c>
      <c r="F69" s="8" t="n">
        <f aca="true">IF(E69="","",ROUND((TODAY()-E69)/7,1))</f>
        <v>122.6</v>
      </c>
      <c r="G69" s="8" t="s">
        <v>38</v>
      </c>
      <c r="H69" s="8"/>
      <c r="I69" s="8" t="s">
        <v>227</v>
      </c>
      <c r="J69" s="8" t="s">
        <v>192</v>
      </c>
      <c r="K69" s="8" t="n">
        <v>2</v>
      </c>
      <c r="L69" s="10" t="s">
        <v>48</v>
      </c>
      <c r="M69" s="10" t="s">
        <v>48</v>
      </c>
      <c r="N69" s="10"/>
      <c r="O69" s="10"/>
      <c r="P69" s="8" t="str">
        <f aca="false">MID(IF(L69="","","; APP:"&amp;L69)&amp;IF(M69="","","; PS1:"&amp;M69)&amp;IF(N69="","","; AQP4:"&amp;N69)&amp;IF(O69="","","; CAG-EGFP:"&amp;O69),3,200)</f>
        <v>APP:+/-; PS1:+/-</v>
      </c>
      <c r="Q69" s="8" t="s">
        <v>47</v>
      </c>
      <c r="R69" s="8" t="s">
        <v>88</v>
      </c>
      <c r="S69" s="8"/>
      <c r="T69" s="8" t="s">
        <v>253</v>
      </c>
    </row>
    <row r="70" customFormat="false" ht="15" hidden="false" customHeight="false" outlineLevel="0" collapsed="false">
      <c r="A70" s="7" t="s">
        <v>255</v>
      </c>
      <c r="B70" s="8" t="s">
        <v>124</v>
      </c>
      <c r="C70" s="8" t="n">
        <v>42</v>
      </c>
      <c r="D70" s="8" t="s">
        <v>33</v>
      </c>
      <c r="E70" s="9" t="n">
        <v>45329</v>
      </c>
      <c r="F70" s="8" t="n">
        <f aca="true">IF(E70="","",ROUND((TODAY()-E70)/7,1))</f>
        <v>122.6</v>
      </c>
      <c r="G70" s="8" t="s">
        <v>38</v>
      </c>
      <c r="H70" s="8"/>
      <c r="I70" s="8" t="s">
        <v>227</v>
      </c>
      <c r="J70" s="8" t="s">
        <v>192</v>
      </c>
      <c r="K70" s="8" t="n">
        <v>2</v>
      </c>
      <c r="L70" s="10" t="s">
        <v>48</v>
      </c>
      <c r="M70" s="10" t="s">
        <v>48</v>
      </c>
      <c r="N70" s="10"/>
      <c r="O70" s="10"/>
      <c r="P70" s="8" t="str">
        <f aca="false">MID(IF(L70="","","; APP:"&amp;L70)&amp;IF(M70="","","; PS1:"&amp;M70)&amp;IF(N70="","","; AQP4:"&amp;N70)&amp;IF(O70="","","; CAG-EGFP:"&amp;O70),3,200)</f>
        <v>APP:+/-; PS1:+/-</v>
      </c>
      <c r="Q70" s="8" t="s">
        <v>47</v>
      </c>
      <c r="R70" s="8" t="s">
        <v>88</v>
      </c>
      <c r="S70" s="8"/>
      <c r="T70" s="8" t="s">
        <v>151</v>
      </c>
    </row>
    <row r="71" customFormat="false" ht="15" hidden="false" customHeight="false" outlineLevel="0" collapsed="false">
      <c r="A71" s="7" t="s">
        <v>256</v>
      </c>
      <c r="B71" s="8" t="s">
        <v>124</v>
      </c>
      <c r="C71" s="8" t="n">
        <v>43</v>
      </c>
      <c r="D71" s="8" t="s">
        <v>33</v>
      </c>
      <c r="E71" s="9" t="n">
        <v>45329</v>
      </c>
      <c r="F71" s="8" t="n">
        <f aca="true">IF(E71="","",ROUND((TODAY()-E71)/7,1))</f>
        <v>122.6</v>
      </c>
      <c r="G71" s="8" t="s">
        <v>38</v>
      </c>
      <c r="H71" s="8"/>
      <c r="I71" s="8" t="s">
        <v>227</v>
      </c>
      <c r="J71" s="8" t="s">
        <v>192</v>
      </c>
      <c r="K71" s="8" t="n">
        <v>2</v>
      </c>
      <c r="L71" s="10" t="s">
        <v>62</v>
      </c>
      <c r="M71" s="10" t="s">
        <v>62</v>
      </c>
      <c r="N71" s="10"/>
      <c r="O71" s="10"/>
      <c r="P71" s="8" t="str">
        <f aca="false">MID(IF(L71="","","; APP:"&amp;L71)&amp;IF(M71="","","; PS1:"&amp;M71)&amp;IF(N71="","","; AQP4:"&amp;N71)&amp;IF(O71="","","; CAG-EGFP:"&amp;O71),3,200)</f>
        <v>APP:-/-; PS1:-/-</v>
      </c>
      <c r="Q71" s="8" t="s">
        <v>47</v>
      </c>
      <c r="R71" s="8" t="s">
        <v>88</v>
      </c>
      <c r="S71" s="8"/>
      <c r="T71" s="8" t="s">
        <v>151</v>
      </c>
    </row>
    <row r="72" customFormat="false" ht="15" hidden="false" customHeight="false" outlineLevel="0" collapsed="false">
      <c r="A72" s="7" t="s">
        <v>257</v>
      </c>
      <c r="B72" s="8" t="s">
        <v>124</v>
      </c>
      <c r="C72" s="8" t="n">
        <v>44</v>
      </c>
      <c r="D72" s="8" t="s">
        <v>33</v>
      </c>
      <c r="E72" s="9" t="n">
        <v>45329</v>
      </c>
      <c r="F72" s="8" t="n">
        <f aca="true">IF(E72="","",ROUND((TODAY()-E72)/7,1))</f>
        <v>122.6</v>
      </c>
      <c r="G72" s="8" t="s">
        <v>38</v>
      </c>
      <c r="H72" s="8"/>
      <c r="I72" s="8" t="s">
        <v>227</v>
      </c>
      <c r="J72" s="8" t="s">
        <v>192</v>
      </c>
      <c r="K72" s="8" t="n">
        <v>2</v>
      </c>
      <c r="L72" s="10" t="s">
        <v>62</v>
      </c>
      <c r="M72" s="10" t="s">
        <v>62</v>
      </c>
      <c r="N72" s="10"/>
      <c r="O72" s="10"/>
      <c r="P72" s="8" t="str">
        <f aca="false">MID(IF(L72="","","; APP:"&amp;L72)&amp;IF(M72="","","; PS1:"&amp;M72)&amp;IF(N72="","","; AQP4:"&amp;N72)&amp;IF(O72="","","; CAG-EGFP:"&amp;O72),3,200)</f>
        <v>APP:-/-; PS1:-/-</v>
      </c>
      <c r="Q72" s="8" t="s">
        <v>47</v>
      </c>
      <c r="R72" s="8" t="s">
        <v>88</v>
      </c>
      <c r="S72" s="8"/>
      <c r="T72" s="8" t="s">
        <v>151</v>
      </c>
    </row>
    <row r="73" customFormat="false" ht="15" hidden="false" customHeight="false" outlineLevel="0" collapsed="false">
      <c r="A73" s="7" t="s">
        <v>258</v>
      </c>
      <c r="B73" s="8" t="s">
        <v>124</v>
      </c>
      <c r="C73" s="8" t="n">
        <v>45</v>
      </c>
      <c r="D73" s="8" t="s">
        <v>33</v>
      </c>
      <c r="E73" s="9" t="n">
        <v>45329</v>
      </c>
      <c r="F73" s="8" t="n">
        <f aca="true">IF(E73="","",ROUND((TODAY()-E73)/7,1))</f>
        <v>122.6</v>
      </c>
      <c r="G73" s="8" t="s">
        <v>38</v>
      </c>
      <c r="H73" s="8"/>
      <c r="I73" s="8" t="s">
        <v>227</v>
      </c>
      <c r="J73" s="8" t="s">
        <v>192</v>
      </c>
      <c r="K73" s="8" t="n">
        <v>2</v>
      </c>
      <c r="L73" s="10" t="s">
        <v>62</v>
      </c>
      <c r="M73" s="10" t="s">
        <v>62</v>
      </c>
      <c r="N73" s="10"/>
      <c r="O73" s="10"/>
      <c r="P73" s="8" t="str">
        <f aca="false">MID(IF(L73="","","; APP:"&amp;L73)&amp;IF(M73="","","; PS1:"&amp;M73)&amp;IF(N73="","","; AQP4:"&amp;N73)&amp;IF(O73="","","; CAG-EGFP:"&amp;O73),3,200)</f>
        <v>APP:-/-; PS1:-/-</v>
      </c>
      <c r="Q73" s="8" t="s">
        <v>47</v>
      </c>
      <c r="R73" s="8" t="s">
        <v>88</v>
      </c>
      <c r="S73" s="8"/>
      <c r="T73" s="8" t="s">
        <v>151</v>
      </c>
    </row>
    <row r="74" customFormat="false" ht="17.15" hidden="false" customHeight="false" outlineLevel="0" collapsed="false">
      <c r="A74" s="7" t="s">
        <v>259</v>
      </c>
      <c r="B74" s="8" t="s">
        <v>124</v>
      </c>
      <c r="C74" s="8" t="n">
        <v>46</v>
      </c>
      <c r="D74" s="8" t="s">
        <v>33</v>
      </c>
      <c r="E74" s="9" t="n">
        <v>45329</v>
      </c>
      <c r="F74" s="8" t="n">
        <f aca="true">IF(E74="","",ROUND((TODAY()-E74)/7,1))</f>
        <v>122.6</v>
      </c>
      <c r="G74" s="8" t="s">
        <v>38</v>
      </c>
      <c r="H74" s="8"/>
      <c r="I74" s="8" t="s">
        <v>227</v>
      </c>
      <c r="J74" s="8" t="s">
        <v>192</v>
      </c>
      <c r="K74" s="8" t="n">
        <v>2</v>
      </c>
      <c r="L74" s="10" t="s">
        <v>48</v>
      </c>
      <c r="M74" s="10" t="s">
        <v>48</v>
      </c>
      <c r="N74" s="10"/>
      <c r="O74" s="10"/>
      <c r="P74" s="8" t="str">
        <f aca="false">MID(IF(L74="","","; APP:"&amp;L74)&amp;IF(M74="","","; PS1:"&amp;M74)&amp;IF(N74="","","; AQP4:"&amp;N74)&amp;IF(O74="","","; CAG-EGFP:"&amp;O74),3,200)</f>
        <v>APP:+/-; PS1:+/-</v>
      </c>
      <c r="Q74" s="8" t="s">
        <v>47</v>
      </c>
      <c r="R74" s="8" t="s">
        <v>88</v>
      </c>
      <c r="S74" s="8"/>
      <c r="T74" s="8" t="s">
        <v>253</v>
      </c>
    </row>
    <row r="75" customFormat="false" ht="17.15" hidden="false" customHeight="false" outlineLevel="0" collapsed="false">
      <c r="A75" s="7" t="s">
        <v>260</v>
      </c>
      <c r="B75" s="8" t="s">
        <v>124</v>
      </c>
      <c r="C75" s="8" t="n">
        <v>47</v>
      </c>
      <c r="D75" s="8" t="s">
        <v>33</v>
      </c>
      <c r="E75" s="9" t="n">
        <v>45329</v>
      </c>
      <c r="F75" s="8" t="n">
        <f aca="true">IF(E75="","",ROUND((TODAY()-E75)/7,1))</f>
        <v>122.6</v>
      </c>
      <c r="G75" s="8" t="s">
        <v>38</v>
      </c>
      <c r="H75" s="8"/>
      <c r="I75" s="8" t="s">
        <v>227</v>
      </c>
      <c r="J75" s="8" t="s">
        <v>192</v>
      </c>
      <c r="K75" s="8" t="n">
        <v>2</v>
      </c>
      <c r="L75" s="10" t="s">
        <v>48</v>
      </c>
      <c r="M75" s="10" t="s">
        <v>48</v>
      </c>
      <c r="N75" s="10"/>
      <c r="O75" s="10"/>
      <c r="P75" s="8" t="str">
        <f aca="false">MID(IF(L75="","","; APP:"&amp;L75)&amp;IF(M75="","","; PS1:"&amp;M75)&amp;IF(N75="","","; AQP4:"&amp;N75)&amp;IF(O75="","","; CAG-EGFP:"&amp;O75),3,200)</f>
        <v>APP:+/-; PS1:+/-</v>
      </c>
      <c r="Q75" s="8" t="s">
        <v>47</v>
      </c>
      <c r="R75" s="8" t="s">
        <v>88</v>
      </c>
      <c r="S75" s="8"/>
      <c r="T75" s="8" t="s">
        <v>253</v>
      </c>
    </row>
    <row r="76" customFormat="false" ht="15" hidden="false" customHeight="false" outlineLevel="0" collapsed="false">
      <c r="A76" s="7" t="s">
        <v>261</v>
      </c>
      <c r="B76" s="8" t="s">
        <v>124</v>
      </c>
      <c r="C76" s="8" t="n">
        <v>48</v>
      </c>
      <c r="D76" s="8" t="s">
        <v>46</v>
      </c>
      <c r="E76" s="9" t="n">
        <v>45329</v>
      </c>
      <c r="F76" s="8" t="n">
        <f aca="true">IF(E76="","",ROUND((TODAY()-E76)/7,1))</f>
        <v>122.6</v>
      </c>
      <c r="G76" s="8" t="s">
        <v>38</v>
      </c>
      <c r="H76" s="8"/>
      <c r="I76" s="8" t="s">
        <v>227</v>
      </c>
      <c r="J76" s="8" t="s">
        <v>192</v>
      </c>
      <c r="K76" s="8" t="n">
        <v>2</v>
      </c>
      <c r="L76" s="10" t="s">
        <v>62</v>
      </c>
      <c r="M76" s="10" t="s">
        <v>62</v>
      </c>
      <c r="N76" s="10"/>
      <c r="O76" s="10"/>
      <c r="P76" s="8" t="str">
        <f aca="false">MID(IF(L76="","","; APP:"&amp;L76)&amp;IF(M76="","","; PS1:"&amp;M76)&amp;IF(N76="","","; AQP4:"&amp;N76)&amp;IF(O76="","","; CAG-EGFP:"&amp;O76),3,200)</f>
        <v>APP:-/-; PS1:-/-</v>
      </c>
      <c r="Q76" s="8" t="s">
        <v>47</v>
      </c>
      <c r="R76" s="8" t="s">
        <v>88</v>
      </c>
      <c r="S76" s="8"/>
      <c r="T76" s="8" t="s">
        <v>151</v>
      </c>
    </row>
    <row r="77" customFormat="false" ht="15" hidden="false" customHeight="false" outlineLevel="0" collapsed="false">
      <c r="A77" s="7" t="s">
        <v>262</v>
      </c>
      <c r="B77" s="8" t="s">
        <v>124</v>
      </c>
      <c r="C77" s="8" t="n">
        <v>49</v>
      </c>
      <c r="D77" s="8" t="s">
        <v>33</v>
      </c>
      <c r="E77" s="9" t="n">
        <v>45336</v>
      </c>
      <c r="F77" s="8" t="n">
        <f aca="true">IF(E77="","",ROUND((TODAY()-E77)/7,1))</f>
        <v>121.6</v>
      </c>
      <c r="G77" s="8" t="s">
        <v>38</v>
      </c>
      <c r="H77" s="8"/>
      <c r="I77" s="8" t="s">
        <v>200</v>
      </c>
      <c r="J77" s="8" t="s">
        <v>192</v>
      </c>
      <c r="K77" s="8" t="n">
        <v>2</v>
      </c>
      <c r="L77" s="10" t="s">
        <v>62</v>
      </c>
      <c r="M77" s="10" t="s">
        <v>62</v>
      </c>
      <c r="N77" s="10"/>
      <c r="O77" s="10"/>
      <c r="P77" s="8" t="str">
        <f aca="false">MID(IF(L77="","","; APP:"&amp;L77)&amp;IF(M77="","","; PS1:"&amp;M77)&amp;IF(N77="","","; AQP4:"&amp;N77)&amp;IF(O77="","","; CAG-EGFP:"&amp;O77),3,200)</f>
        <v>APP:-/-; PS1:-/-</v>
      </c>
      <c r="Q77" s="8" t="s">
        <v>47</v>
      </c>
      <c r="R77" s="8" t="s">
        <v>88</v>
      </c>
      <c r="S77" s="8"/>
      <c r="T77" s="8" t="s">
        <v>151</v>
      </c>
    </row>
    <row r="78" customFormat="false" ht="15" hidden="false" customHeight="false" outlineLevel="0" collapsed="false">
      <c r="A78" s="7" t="s">
        <v>263</v>
      </c>
      <c r="B78" s="8" t="s">
        <v>124</v>
      </c>
      <c r="C78" s="8" t="n">
        <v>50</v>
      </c>
      <c r="D78" s="8" t="s">
        <v>33</v>
      </c>
      <c r="E78" s="9" t="n">
        <v>45336</v>
      </c>
      <c r="F78" s="8" t="n">
        <f aca="true">IF(E78="","",ROUND((TODAY()-E78)/7,1))</f>
        <v>121.6</v>
      </c>
      <c r="G78" s="8" t="s">
        <v>38</v>
      </c>
      <c r="H78" s="8"/>
      <c r="I78" s="8" t="s">
        <v>200</v>
      </c>
      <c r="J78" s="8" t="s">
        <v>192</v>
      </c>
      <c r="K78" s="8" t="n">
        <v>2</v>
      </c>
      <c r="L78" s="10" t="s">
        <v>48</v>
      </c>
      <c r="M78" s="10" t="s">
        <v>48</v>
      </c>
      <c r="N78" s="10"/>
      <c r="O78" s="10"/>
      <c r="P78" s="8" t="str">
        <f aca="false">MID(IF(L78="","","; APP:"&amp;L78)&amp;IF(M78="","","; PS1:"&amp;M78)&amp;IF(N78="","","; AQP4:"&amp;N78)&amp;IF(O78="","","; CAG-EGFP:"&amp;O78),3,200)</f>
        <v>APP:+/-; PS1:+/-</v>
      </c>
      <c r="Q78" s="8" t="s">
        <v>47</v>
      </c>
      <c r="R78" s="8" t="s">
        <v>88</v>
      </c>
      <c r="S78" s="8"/>
      <c r="T78" s="8" t="s">
        <v>151</v>
      </c>
    </row>
    <row r="79" customFormat="false" ht="15" hidden="false" customHeight="false" outlineLevel="0" collapsed="false">
      <c r="A79" s="7" t="s">
        <v>264</v>
      </c>
      <c r="B79" s="8" t="s">
        <v>124</v>
      </c>
      <c r="C79" s="8" t="n">
        <v>51</v>
      </c>
      <c r="D79" s="8" t="s">
        <v>33</v>
      </c>
      <c r="E79" s="9" t="n">
        <v>45336</v>
      </c>
      <c r="F79" s="8" t="n">
        <f aca="true">IF(E79="","",ROUND((TODAY()-E79)/7,1))</f>
        <v>121.6</v>
      </c>
      <c r="G79" s="8" t="s">
        <v>38</v>
      </c>
      <c r="H79" s="8"/>
      <c r="I79" s="8" t="s">
        <v>200</v>
      </c>
      <c r="J79" s="8" t="s">
        <v>192</v>
      </c>
      <c r="K79" s="8" t="n">
        <v>2</v>
      </c>
      <c r="L79" s="10" t="s">
        <v>48</v>
      </c>
      <c r="M79" s="10" t="s">
        <v>48</v>
      </c>
      <c r="N79" s="10"/>
      <c r="O79" s="10"/>
      <c r="P79" s="8" t="str">
        <f aca="false">MID(IF(L79="","","; APP:"&amp;L79)&amp;IF(M79="","","; PS1:"&amp;M79)&amp;IF(N79="","","; AQP4:"&amp;N79)&amp;IF(O79="","","; CAG-EGFP:"&amp;O79),3,200)</f>
        <v>APP:+/-; PS1:+/-</v>
      </c>
      <c r="Q79" s="8" t="s">
        <v>47</v>
      </c>
      <c r="R79" s="8" t="s">
        <v>88</v>
      </c>
      <c r="S79" s="8"/>
      <c r="T79" s="8" t="s">
        <v>151</v>
      </c>
    </row>
    <row r="80" customFormat="false" ht="17.15" hidden="false" customHeight="false" outlineLevel="0" collapsed="false">
      <c r="A80" s="7" t="s">
        <v>265</v>
      </c>
      <c r="B80" s="8" t="s">
        <v>124</v>
      </c>
      <c r="C80" s="8" t="n">
        <v>52</v>
      </c>
      <c r="D80" s="8" t="s">
        <v>46</v>
      </c>
      <c r="E80" s="9" t="n">
        <v>45336</v>
      </c>
      <c r="F80" s="8" t="n">
        <f aca="true">IF(E80="","",ROUND((TODAY()-E80)/7,1))</f>
        <v>121.6</v>
      </c>
      <c r="G80" s="8" t="s">
        <v>38</v>
      </c>
      <c r="H80" s="8"/>
      <c r="I80" s="8" t="s">
        <v>200</v>
      </c>
      <c r="J80" s="8" t="s">
        <v>192</v>
      </c>
      <c r="K80" s="8" t="n">
        <v>2</v>
      </c>
      <c r="L80" s="10" t="s">
        <v>48</v>
      </c>
      <c r="M80" s="10" t="s">
        <v>48</v>
      </c>
      <c r="N80" s="10"/>
      <c r="O80" s="10"/>
      <c r="P80" s="8" t="str">
        <f aca="false">MID(IF(L80="","","; APP:"&amp;L80)&amp;IF(M80="","","; PS1:"&amp;M80)&amp;IF(N80="","","; AQP4:"&amp;N80)&amp;IF(O80="","","; CAG-EGFP:"&amp;O80),3,200)</f>
        <v>APP:+/-; PS1:+/-</v>
      </c>
      <c r="Q80" s="8" t="s">
        <v>47</v>
      </c>
      <c r="R80" s="8" t="s">
        <v>88</v>
      </c>
      <c r="S80" s="8"/>
      <c r="T80" s="8" t="s">
        <v>253</v>
      </c>
    </row>
    <row r="81" customFormat="false" ht="15" hidden="false" customHeight="false" outlineLevel="0" collapsed="false">
      <c r="A81" s="7" t="s">
        <v>266</v>
      </c>
      <c r="B81" s="8" t="s">
        <v>124</v>
      </c>
      <c r="C81" s="8" t="n">
        <v>53</v>
      </c>
      <c r="D81" s="8" t="s">
        <v>46</v>
      </c>
      <c r="E81" s="9" t="n">
        <v>45336</v>
      </c>
      <c r="F81" s="8" t="n">
        <f aca="true">IF(E81="","",ROUND((TODAY()-E81)/7,1))</f>
        <v>121.6</v>
      </c>
      <c r="G81" s="8" t="s">
        <v>38</v>
      </c>
      <c r="H81" s="8"/>
      <c r="I81" s="8" t="s">
        <v>200</v>
      </c>
      <c r="J81" s="8" t="s">
        <v>192</v>
      </c>
      <c r="K81" s="8" t="n">
        <v>2</v>
      </c>
      <c r="L81" s="10" t="s">
        <v>62</v>
      </c>
      <c r="M81" s="10" t="s">
        <v>62</v>
      </c>
      <c r="N81" s="10"/>
      <c r="O81" s="10"/>
      <c r="P81" s="8" t="str">
        <f aca="false">MID(IF(L81="","","; APP:"&amp;L81)&amp;IF(M81="","","; PS1:"&amp;M81)&amp;IF(N81="","","; AQP4:"&amp;N81)&amp;IF(O81="","","; CAG-EGFP:"&amp;O81),3,200)</f>
        <v>APP:-/-; PS1:-/-</v>
      </c>
      <c r="Q81" s="8" t="s">
        <v>47</v>
      </c>
      <c r="R81" s="8" t="s">
        <v>88</v>
      </c>
      <c r="S81" s="8"/>
      <c r="T81" s="8" t="s">
        <v>151</v>
      </c>
    </row>
    <row r="82" customFormat="false" ht="15" hidden="false" customHeight="false" outlineLevel="0" collapsed="false">
      <c r="A82" s="7" t="s">
        <v>267</v>
      </c>
      <c r="B82" s="8" t="s">
        <v>124</v>
      </c>
      <c r="C82" s="8" t="n">
        <v>54</v>
      </c>
      <c r="D82" s="8" t="s">
        <v>33</v>
      </c>
      <c r="E82" s="9" t="n">
        <v>45350</v>
      </c>
      <c r="F82" s="8" t="n">
        <f aca="true">IF(E82="","",ROUND((TODAY()-E82)/7,1))</f>
        <v>119.6</v>
      </c>
      <c r="G82" s="8" t="s">
        <v>38</v>
      </c>
      <c r="H82" s="8"/>
      <c r="I82" s="8" t="s">
        <v>192</v>
      </c>
      <c r="J82" s="8" t="s">
        <v>268</v>
      </c>
      <c r="K82" s="8" t="n">
        <v>2</v>
      </c>
      <c r="L82" s="10" t="s">
        <v>48</v>
      </c>
      <c r="M82" s="10" t="s">
        <v>48</v>
      </c>
      <c r="N82" s="10"/>
      <c r="O82" s="10"/>
      <c r="P82" s="8" t="str">
        <f aca="false">MID(IF(L82="","","; APP:"&amp;L82)&amp;IF(M82="","","; PS1:"&amp;M82)&amp;IF(N82="","","; AQP4:"&amp;N82)&amp;IF(O82="","","; CAG-EGFP:"&amp;O82),3,200)</f>
        <v>APP:+/-; PS1:+/-</v>
      </c>
      <c r="Q82" s="8" t="s">
        <v>47</v>
      </c>
      <c r="R82" s="8" t="s">
        <v>88</v>
      </c>
      <c r="S82" s="8"/>
      <c r="T82" s="8" t="s">
        <v>151</v>
      </c>
    </row>
    <row r="83" customFormat="false" ht="15" hidden="false" customHeight="false" outlineLevel="0" collapsed="false">
      <c r="A83" s="7" t="s">
        <v>269</v>
      </c>
      <c r="B83" s="8" t="s">
        <v>124</v>
      </c>
      <c r="C83" s="8" t="n">
        <v>55</v>
      </c>
      <c r="D83" s="8" t="s">
        <v>33</v>
      </c>
      <c r="E83" s="9" t="n">
        <v>45350</v>
      </c>
      <c r="F83" s="8" t="n">
        <f aca="true">IF(E83="","",ROUND((TODAY()-E83)/7,1))</f>
        <v>119.6</v>
      </c>
      <c r="G83" s="8" t="s">
        <v>38</v>
      </c>
      <c r="H83" s="8"/>
      <c r="I83" s="8" t="s">
        <v>192</v>
      </c>
      <c r="J83" s="8" t="s">
        <v>268</v>
      </c>
      <c r="K83" s="8" t="n">
        <v>2</v>
      </c>
      <c r="L83" s="10" t="s">
        <v>62</v>
      </c>
      <c r="M83" s="10" t="s">
        <v>62</v>
      </c>
      <c r="N83" s="10"/>
      <c r="O83" s="10"/>
      <c r="P83" s="8" t="str">
        <f aca="false">MID(IF(L83="","","; APP:"&amp;L83)&amp;IF(M83="","","; PS1:"&amp;M83)&amp;IF(N83="","","; AQP4:"&amp;N83)&amp;IF(O83="","","; CAG-EGFP:"&amp;O83),3,200)</f>
        <v>APP:-/-; PS1:-/-</v>
      </c>
      <c r="Q83" s="8" t="s">
        <v>47</v>
      </c>
      <c r="R83" s="8" t="s">
        <v>88</v>
      </c>
      <c r="S83" s="8"/>
      <c r="T83" s="8" t="s">
        <v>151</v>
      </c>
    </row>
    <row r="84" customFormat="false" ht="15" hidden="false" customHeight="false" outlineLevel="0" collapsed="false">
      <c r="A84" s="7" t="s">
        <v>270</v>
      </c>
      <c r="B84" s="8" t="s">
        <v>124</v>
      </c>
      <c r="C84" s="8" t="n">
        <v>56</v>
      </c>
      <c r="D84" s="8" t="s">
        <v>33</v>
      </c>
      <c r="E84" s="9" t="n">
        <v>45350</v>
      </c>
      <c r="F84" s="8" t="n">
        <f aca="true">IF(E84="","",ROUND((TODAY()-E84)/7,1))</f>
        <v>119.6</v>
      </c>
      <c r="G84" s="8" t="s">
        <v>38</v>
      </c>
      <c r="H84" s="8"/>
      <c r="I84" s="8" t="s">
        <v>192</v>
      </c>
      <c r="J84" s="8" t="s">
        <v>268</v>
      </c>
      <c r="K84" s="8" t="n">
        <v>2</v>
      </c>
      <c r="L84" s="10" t="s">
        <v>62</v>
      </c>
      <c r="M84" s="10" t="s">
        <v>62</v>
      </c>
      <c r="N84" s="10"/>
      <c r="O84" s="10"/>
      <c r="P84" s="8" t="str">
        <f aca="false">MID(IF(L84="","","; APP:"&amp;L84)&amp;IF(M84="","","; PS1:"&amp;M84)&amp;IF(N84="","","; AQP4:"&amp;N84)&amp;IF(O84="","","; CAG-EGFP:"&amp;O84),3,200)</f>
        <v>APP:-/-; PS1:-/-</v>
      </c>
      <c r="Q84" s="8" t="s">
        <v>47</v>
      </c>
      <c r="R84" s="8" t="s">
        <v>88</v>
      </c>
      <c r="S84" s="8"/>
      <c r="T84" s="8" t="s">
        <v>151</v>
      </c>
    </row>
    <row r="85" customFormat="false" ht="15" hidden="false" customHeight="false" outlineLevel="0" collapsed="false">
      <c r="A85" s="7" t="s">
        <v>271</v>
      </c>
      <c r="B85" s="8" t="s">
        <v>124</v>
      </c>
      <c r="C85" s="8" t="n">
        <v>57</v>
      </c>
      <c r="D85" s="8" t="s">
        <v>33</v>
      </c>
      <c r="E85" s="9" t="n">
        <v>45350</v>
      </c>
      <c r="F85" s="8" t="n">
        <f aca="true">IF(E85="","",ROUND((TODAY()-E85)/7,1))</f>
        <v>119.6</v>
      </c>
      <c r="G85" s="8" t="s">
        <v>38</v>
      </c>
      <c r="H85" s="8"/>
      <c r="I85" s="8" t="s">
        <v>192</v>
      </c>
      <c r="J85" s="8" t="s">
        <v>268</v>
      </c>
      <c r="K85" s="8" t="n">
        <v>2</v>
      </c>
      <c r="L85" s="10" t="s">
        <v>48</v>
      </c>
      <c r="M85" s="10" t="s">
        <v>48</v>
      </c>
      <c r="N85" s="10"/>
      <c r="O85" s="10"/>
      <c r="P85" s="8" t="str">
        <f aca="false">MID(IF(L85="","","; APP:"&amp;L85)&amp;IF(M85="","","; PS1:"&amp;M85)&amp;IF(N85="","","; AQP4:"&amp;N85)&amp;IF(O85="","","; CAG-EGFP:"&amp;O85),3,200)</f>
        <v>APP:+/-; PS1:+/-</v>
      </c>
      <c r="Q85" s="8" t="s">
        <v>47</v>
      </c>
      <c r="R85" s="8" t="s">
        <v>88</v>
      </c>
      <c r="S85" s="8"/>
      <c r="T85" s="8" t="s">
        <v>151</v>
      </c>
    </row>
    <row r="86" customFormat="false" ht="17.15" hidden="false" customHeight="false" outlineLevel="0" collapsed="false">
      <c r="A86" s="7" t="s">
        <v>272</v>
      </c>
      <c r="B86" s="8" t="s">
        <v>124</v>
      </c>
      <c r="C86" s="8" t="n">
        <v>58</v>
      </c>
      <c r="D86" s="8" t="s">
        <v>46</v>
      </c>
      <c r="E86" s="9" t="n">
        <v>45350</v>
      </c>
      <c r="F86" s="8" t="n">
        <f aca="true">IF(E86="","",ROUND((TODAY()-E86)/7,1))</f>
        <v>119.6</v>
      </c>
      <c r="G86" s="8" t="s">
        <v>38</v>
      </c>
      <c r="H86" s="8"/>
      <c r="I86" s="8" t="s">
        <v>192</v>
      </c>
      <c r="J86" s="8" t="s">
        <v>268</v>
      </c>
      <c r="K86" s="8" t="n">
        <v>2</v>
      </c>
      <c r="L86" s="10" t="s">
        <v>48</v>
      </c>
      <c r="M86" s="10" t="s">
        <v>48</v>
      </c>
      <c r="N86" s="10"/>
      <c r="O86" s="10"/>
      <c r="P86" s="8" t="str">
        <f aca="false">MID(IF(L86="","","; APP:"&amp;L86)&amp;IF(M86="","","; PS1:"&amp;M86)&amp;IF(N86="","","; AQP4:"&amp;N86)&amp;IF(O86="","","; CAG-EGFP:"&amp;O86),3,200)</f>
        <v>APP:+/-; PS1:+/-</v>
      </c>
      <c r="Q86" s="8" t="s">
        <v>47</v>
      </c>
      <c r="R86" s="8" t="s">
        <v>88</v>
      </c>
      <c r="S86" s="8"/>
      <c r="T86" s="8" t="s">
        <v>253</v>
      </c>
    </row>
    <row r="87" customFormat="false" ht="17.15" hidden="false" customHeight="false" outlineLevel="0" collapsed="false">
      <c r="A87" s="7" t="s">
        <v>273</v>
      </c>
      <c r="B87" s="8" t="s">
        <v>124</v>
      </c>
      <c r="C87" s="8" t="n">
        <v>59</v>
      </c>
      <c r="D87" s="8" t="s">
        <v>33</v>
      </c>
      <c r="E87" s="9" t="n">
        <v>45371</v>
      </c>
      <c r="F87" s="8" t="n">
        <f aca="true">IF(E87="","",ROUND((TODAY()-E87)/7,1))</f>
        <v>116.6</v>
      </c>
      <c r="G87" s="8" t="s">
        <v>38</v>
      </c>
      <c r="H87" s="8"/>
      <c r="I87" s="8" t="s">
        <v>192</v>
      </c>
      <c r="J87" s="8" t="s">
        <v>274</v>
      </c>
      <c r="K87" s="8" t="n">
        <v>2</v>
      </c>
      <c r="L87" s="10" t="s">
        <v>48</v>
      </c>
      <c r="M87" s="10" t="s">
        <v>48</v>
      </c>
      <c r="N87" s="10"/>
      <c r="O87" s="10"/>
      <c r="P87" s="8" t="str">
        <f aca="false">MID(IF(L87="","","; APP:"&amp;L87)&amp;IF(M87="","","; PS1:"&amp;M87)&amp;IF(N87="","","; AQP4:"&amp;N87)&amp;IF(O87="","","; CAG-EGFP:"&amp;O87),3,200)</f>
        <v>APP:+/-; PS1:+/-</v>
      </c>
      <c r="Q87" s="8" t="s">
        <v>47</v>
      </c>
      <c r="R87" s="8" t="s">
        <v>88</v>
      </c>
      <c r="S87" s="8"/>
      <c r="T87" s="8" t="s">
        <v>253</v>
      </c>
    </row>
    <row r="88" customFormat="false" ht="17.15" hidden="false" customHeight="false" outlineLevel="0" collapsed="false">
      <c r="A88" s="7" t="s">
        <v>275</v>
      </c>
      <c r="B88" s="8" t="s">
        <v>124</v>
      </c>
      <c r="C88" s="8" t="n">
        <v>60</v>
      </c>
      <c r="D88" s="8" t="s">
        <v>33</v>
      </c>
      <c r="E88" s="9" t="n">
        <v>45371</v>
      </c>
      <c r="F88" s="8" t="n">
        <f aca="true">IF(E88="","",ROUND((TODAY()-E88)/7,1))</f>
        <v>116.6</v>
      </c>
      <c r="G88" s="8" t="s">
        <v>38</v>
      </c>
      <c r="H88" s="8"/>
      <c r="I88" s="8" t="s">
        <v>192</v>
      </c>
      <c r="J88" s="8" t="s">
        <v>274</v>
      </c>
      <c r="K88" s="8" t="n">
        <v>2</v>
      </c>
      <c r="L88" s="10" t="s">
        <v>48</v>
      </c>
      <c r="M88" s="10" t="s">
        <v>48</v>
      </c>
      <c r="N88" s="10"/>
      <c r="O88" s="10"/>
      <c r="P88" s="8" t="str">
        <f aca="false">MID(IF(L88="","","; APP:"&amp;L88)&amp;IF(M88="","","; PS1:"&amp;M88)&amp;IF(N88="","","; AQP4:"&amp;N88)&amp;IF(O88="","","; CAG-EGFP:"&amp;O88),3,200)</f>
        <v>APP:+/-; PS1:+/-</v>
      </c>
      <c r="Q88" s="8" t="s">
        <v>47</v>
      </c>
      <c r="R88" s="8" t="s">
        <v>88</v>
      </c>
      <c r="S88" s="8"/>
      <c r="T88" s="8" t="s">
        <v>253</v>
      </c>
    </row>
    <row r="89" customFormat="false" ht="15" hidden="false" customHeight="false" outlineLevel="0" collapsed="false">
      <c r="A89" s="7" t="s">
        <v>276</v>
      </c>
      <c r="B89" s="8" t="s">
        <v>124</v>
      </c>
      <c r="C89" s="8" t="n">
        <v>61</v>
      </c>
      <c r="D89" s="8" t="s">
        <v>46</v>
      </c>
      <c r="E89" s="9" t="n">
        <v>45371</v>
      </c>
      <c r="F89" s="8" t="n">
        <f aca="true">IF(E89="","",ROUND((TODAY()-E89)/7,1))</f>
        <v>116.6</v>
      </c>
      <c r="G89" s="8" t="s">
        <v>38</v>
      </c>
      <c r="H89" s="8"/>
      <c r="I89" s="8" t="s">
        <v>192</v>
      </c>
      <c r="J89" s="8" t="s">
        <v>274</v>
      </c>
      <c r="K89" s="8" t="n">
        <v>2</v>
      </c>
      <c r="L89" s="10" t="s">
        <v>62</v>
      </c>
      <c r="M89" s="10" t="s">
        <v>62</v>
      </c>
      <c r="N89" s="10"/>
      <c r="O89" s="10"/>
      <c r="P89" s="8" t="str">
        <f aca="false">MID(IF(L89="","","; APP:"&amp;L89)&amp;IF(M89="","","; PS1:"&amp;M89)&amp;IF(N89="","","; AQP4:"&amp;N89)&amp;IF(O89="","","; CAG-EGFP:"&amp;O89),3,200)</f>
        <v>APP:-/-; PS1:-/-</v>
      </c>
      <c r="Q89" s="8" t="s">
        <v>47</v>
      </c>
      <c r="R89" s="8" t="s">
        <v>88</v>
      </c>
      <c r="S89" s="8"/>
      <c r="T89" s="8" t="s">
        <v>151</v>
      </c>
    </row>
    <row r="90" customFormat="false" ht="17.15" hidden="false" customHeight="false" outlineLevel="0" collapsed="false">
      <c r="A90" s="7" t="s">
        <v>277</v>
      </c>
      <c r="B90" s="8" t="s">
        <v>124</v>
      </c>
      <c r="C90" s="8" t="n">
        <v>62</v>
      </c>
      <c r="D90" s="8" t="s">
        <v>46</v>
      </c>
      <c r="E90" s="9" t="n">
        <v>45376</v>
      </c>
      <c r="F90" s="8" t="n">
        <f aca="true">IF(E90="","",ROUND((TODAY()-E90)/7,1))</f>
        <v>115.9</v>
      </c>
      <c r="G90" s="8" t="s">
        <v>38</v>
      </c>
      <c r="H90" s="8"/>
      <c r="I90" s="8" t="s">
        <v>278</v>
      </c>
      <c r="J90" s="8" t="s">
        <v>192</v>
      </c>
      <c r="K90" s="8" t="n">
        <v>2</v>
      </c>
      <c r="L90" s="10"/>
      <c r="M90" s="10"/>
      <c r="N90" s="10"/>
      <c r="O90" s="10"/>
      <c r="P90" s="8" t="str">
        <f aca="false">MID(IF(L90="","","; APP:"&amp;L90)&amp;IF(M90="","","; PS1:"&amp;M90)&amp;IF(N90="","","; AQP4:"&amp;N90)&amp;IF(O90="","","; CAG-EGFP:"&amp;O90),3,200)</f>
        <v/>
      </c>
      <c r="Q90" s="8" t="s">
        <v>34</v>
      </c>
      <c r="R90" s="8" t="s">
        <v>88</v>
      </c>
      <c r="S90" s="8"/>
      <c r="T90" s="8" t="s">
        <v>151</v>
      </c>
    </row>
    <row r="91" customFormat="false" ht="17.15" hidden="false" customHeight="false" outlineLevel="0" collapsed="false">
      <c r="A91" s="7" t="s">
        <v>279</v>
      </c>
      <c r="B91" s="8" t="s">
        <v>124</v>
      </c>
      <c r="C91" s="8" t="n">
        <v>63</v>
      </c>
      <c r="D91" s="8" t="s">
        <v>46</v>
      </c>
      <c r="E91" s="9" t="n">
        <v>45376</v>
      </c>
      <c r="F91" s="8" t="n">
        <f aca="true">IF(E91="","",ROUND((TODAY()-E91)/7,1))</f>
        <v>115.9</v>
      </c>
      <c r="G91" s="8" t="s">
        <v>38</v>
      </c>
      <c r="H91" s="8"/>
      <c r="I91" s="8" t="s">
        <v>278</v>
      </c>
      <c r="J91" s="8" t="s">
        <v>192</v>
      </c>
      <c r="K91" s="8" t="n">
        <v>2</v>
      </c>
      <c r="L91" s="10" t="s">
        <v>48</v>
      </c>
      <c r="M91" s="10" t="s">
        <v>48</v>
      </c>
      <c r="N91" s="10"/>
      <c r="O91" s="10"/>
      <c r="P91" s="8" t="str">
        <f aca="false">MID(IF(L91="","","; APP:"&amp;L91)&amp;IF(M91="","","; PS1:"&amp;M91)&amp;IF(N91="","","; AQP4:"&amp;N91)&amp;IF(O91="","","; CAG-EGFP:"&amp;O91),3,200)</f>
        <v>APP:+/-; PS1:+/-</v>
      </c>
      <c r="Q91" s="8" t="s">
        <v>47</v>
      </c>
      <c r="R91" s="8" t="s">
        <v>88</v>
      </c>
      <c r="S91" s="8"/>
      <c r="T91" s="8" t="s">
        <v>253</v>
      </c>
    </row>
    <row r="92" customFormat="false" ht="17.15" hidden="false" customHeight="false" outlineLevel="0" collapsed="false">
      <c r="A92" s="7" t="s">
        <v>280</v>
      </c>
      <c r="B92" s="8" t="s">
        <v>124</v>
      </c>
      <c r="C92" s="8" t="n">
        <v>64</v>
      </c>
      <c r="D92" s="8" t="s">
        <v>46</v>
      </c>
      <c r="E92" s="9" t="n">
        <v>45376</v>
      </c>
      <c r="F92" s="8" t="n">
        <f aca="true">IF(E92="","",ROUND((TODAY()-E92)/7,1))</f>
        <v>115.9</v>
      </c>
      <c r="G92" s="8" t="s">
        <v>38</v>
      </c>
      <c r="H92" s="8"/>
      <c r="I92" s="8" t="s">
        <v>278</v>
      </c>
      <c r="J92" s="8" t="s">
        <v>192</v>
      </c>
      <c r="K92" s="8" t="n">
        <v>2</v>
      </c>
      <c r="L92" s="10" t="s">
        <v>48</v>
      </c>
      <c r="M92" s="10" t="s">
        <v>48</v>
      </c>
      <c r="N92" s="10"/>
      <c r="O92" s="10"/>
      <c r="P92" s="8" t="str">
        <f aca="false">MID(IF(L92="","","; APP:"&amp;L92)&amp;IF(M92="","","; PS1:"&amp;M92)&amp;IF(N92="","","; AQP4:"&amp;N92)&amp;IF(O92="","","; CAG-EGFP:"&amp;O92),3,200)</f>
        <v>APP:+/-; PS1:+/-</v>
      </c>
      <c r="Q92" s="8" t="s">
        <v>47</v>
      </c>
      <c r="R92" s="8" t="s">
        <v>88</v>
      </c>
      <c r="S92" s="8"/>
      <c r="T92" s="8" t="s">
        <v>253</v>
      </c>
    </row>
    <row r="93" customFormat="false" ht="17.15" hidden="false" customHeight="false" outlineLevel="0" collapsed="false">
      <c r="A93" s="7" t="s">
        <v>281</v>
      </c>
      <c r="B93" s="8" t="s">
        <v>124</v>
      </c>
      <c r="C93" s="8" t="n">
        <v>65</v>
      </c>
      <c r="D93" s="8" t="s">
        <v>46</v>
      </c>
      <c r="E93" s="9" t="n">
        <v>45376</v>
      </c>
      <c r="F93" s="8" t="n">
        <f aca="true">IF(E93="","",ROUND((TODAY()-E93)/7,1))</f>
        <v>115.9</v>
      </c>
      <c r="G93" s="8" t="s">
        <v>38</v>
      </c>
      <c r="H93" s="8"/>
      <c r="I93" s="8" t="s">
        <v>278</v>
      </c>
      <c r="J93" s="8" t="s">
        <v>192</v>
      </c>
      <c r="K93" s="8" t="n">
        <v>2</v>
      </c>
      <c r="L93" s="10" t="s">
        <v>62</v>
      </c>
      <c r="M93" s="10" t="s">
        <v>62</v>
      </c>
      <c r="N93" s="10"/>
      <c r="O93" s="10"/>
      <c r="P93" s="8" t="str">
        <f aca="false">MID(IF(L93="","","; APP:"&amp;L93)&amp;IF(M93="","","; PS1:"&amp;M93)&amp;IF(N93="","","; AQP4:"&amp;N93)&amp;IF(O93="","","; CAG-EGFP:"&amp;O93),3,200)</f>
        <v>APP:-/-; PS1:-/-</v>
      </c>
      <c r="Q93" s="8" t="s">
        <v>47</v>
      </c>
      <c r="R93" s="8" t="s">
        <v>88</v>
      </c>
      <c r="S93" s="8"/>
      <c r="T93" s="8" t="s">
        <v>151</v>
      </c>
    </row>
    <row r="94" customFormat="false" ht="17.15" hidden="false" customHeight="false" outlineLevel="0" collapsed="false">
      <c r="A94" s="7" t="s">
        <v>282</v>
      </c>
      <c r="B94" s="8" t="s">
        <v>124</v>
      </c>
      <c r="C94" s="8" t="n">
        <v>66</v>
      </c>
      <c r="D94" s="8" t="s">
        <v>46</v>
      </c>
      <c r="E94" s="9" t="n">
        <v>45376</v>
      </c>
      <c r="F94" s="8" t="n">
        <f aca="true">IF(E94="","",ROUND((TODAY()-E94)/7,1))</f>
        <v>115.9</v>
      </c>
      <c r="G94" s="8" t="s">
        <v>38</v>
      </c>
      <c r="H94" s="8"/>
      <c r="I94" s="8" t="s">
        <v>278</v>
      </c>
      <c r="J94" s="8" t="s">
        <v>192</v>
      </c>
      <c r="K94" s="8" t="n">
        <v>2</v>
      </c>
      <c r="L94" s="10" t="s">
        <v>62</v>
      </c>
      <c r="M94" s="10" t="s">
        <v>62</v>
      </c>
      <c r="N94" s="10"/>
      <c r="O94" s="10"/>
      <c r="P94" s="8" t="str">
        <f aca="false">MID(IF(L94="","","; APP:"&amp;L94)&amp;IF(M94="","","; PS1:"&amp;M94)&amp;IF(N94="","","; AQP4:"&amp;N94)&amp;IF(O94="","","; CAG-EGFP:"&amp;O94),3,200)</f>
        <v>APP:-/-; PS1:-/-</v>
      </c>
      <c r="Q94" s="8" t="s">
        <v>47</v>
      </c>
      <c r="R94" s="8" t="s">
        <v>88</v>
      </c>
      <c r="S94" s="8"/>
      <c r="T94" s="8" t="s">
        <v>151</v>
      </c>
    </row>
    <row r="95" customFormat="false" ht="17.15" hidden="false" customHeight="false" outlineLevel="0" collapsed="false">
      <c r="A95" s="7" t="s">
        <v>283</v>
      </c>
      <c r="B95" s="8" t="s">
        <v>124</v>
      </c>
      <c r="C95" s="8" t="n">
        <v>67</v>
      </c>
      <c r="D95" s="8" t="s">
        <v>33</v>
      </c>
      <c r="E95" s="9" t="n">
        <v>45392</v>
      </c>
      <c r="F95" s="8" t="n">
        <f aca="true">IF(E95="","",ROUND((TODAY()-E95)/7,1))</f>
        <v>113.6</v>
      </c>
      <c r="G95" s="8" t="s">
        <v>38</v>
      </c>
      <c r="H95" s="8"/>
      <c r="I95" s="8" t="s">
        <v>192</v>
      </c>
      <c r="J95" s="8" t="s">
        <v>191</v>
      </c>
      <c r="K95" s="8" t="n">
        <v>2</v>
      </c>
      <c r="L95" s="10" t="s">
        <v>62</v>
      </c>
      <c r="M95" s="10" t="s">
        <v>62</v>
      </c>
      <c r="N95" s="10"/>
      <c r="O95" s="10"/>
      <c r="P95" s="8" t="str">
        <f aca="false">MID(IF(L95="","","; APP:"&amp;L95)&amp;IF(M95="","","; PS1:"&amp;M95)&amp;IF(N95="","","; AQP4:"&amp;N95)&amp;IF(O95="","","; CAG-EGFP:"&amp;O95),3,200)</f>
        <v>APP:-/-; PS1:-/-</v>
      </c>
      <c r="Q95" s="8" t="s">
        <v>47</v>
      </c>
      <c r="R95" s="8" t="s">
        <v>88</v>
      </c>
      <c r="S95" s="8"/>
      <c r="T95" s="8" t="s">
        <v>284</v>
      </c>
    </row>
    <row r="96" customFormat="false" ht="17.15" hidden="false" customHeight="false" outlineLevel="0" collapsed="false">
      <c r="A96" s="7" t="s">
        <v>285</v>
      </c>
      <c r="B96" s="8" t="s">
        <v>124</v>
      </c>
      <c r="C96" s="8" t="n">
        <v>68</v>
      </c>
      <c r="D96" s="8" t="s">
        <v>33</v>
      </c>
      <c r="E96" s="9" t="n">
        <v>45392</v>
      </c>
      <c r="F96" s="8" t="n">
        <f aca="true">IF(E96="","",ROUND((TODAY()-E96)/7,1))</f>
        <v>113.6</v>
      </c>
      <c r="G96" s="8" t="s">
        <v>38</v>
      </c>
      <c r="H96" s="8"/>
      <c r="I96" s="8" t="s">
        <v>192</v>
      </c>
      <c r="J96" s="8" t="s">
        <v>191</v>
      </c>
      <c r="K96" s="8" t="n">
        <v>2</v>
      </c>
      <c r="L96" s="10" t="s">
        <v>62</v>
      </c>
      <c r="M96" s="10" t="s">
        <v>62</v>
      </c>
      <c r="N96" s="10"/>
      <c r="O96" s="10"/>
      <c r="P96" s="8" t="str">
        <f aca="false">MID(IF(L96="","","; APP:"&amp;L96)&amp;IF(M96="","","; PS1:"&amp;M96)&amp;IF(N96="","","; AQP4:"&amp;N96)&amp;IF(O96="","","; CAG-EGFP:"&amp;O96),3,200)</f>
        <v>APP:-/-; PS1:-/-</v>
      </c>
      <c r="Q96" s="8" t="s">
        <v>47</v>
      </c>
      <c r="R96" s="8" t="s">
        <v>88</v>
      </c>
      <c r="S96" s="8"/>
      <c r="T96" s="8" t="s">
        <v>284</v>
      </c>
    </row>
    <row r="97" customFormat="false" ht="15" hidden="false" customHeight="false" outlineLevel="0" collapsed="false">
      <c r="A97" s="7" t="s">
        <v>286</v>
      </c>
      <c r="B97" s="8" t="s">
        <v>124</v>
      </c>
      <c r="C97" s="8" t="n">
        <v>69</v>
      </c>
      <c r="D97" s="8" t="s">
        <v>33</v>
      </c>
      <c r="E97" s="9" t="n">
        <v>45392</v>
      </c>
      <c r="F97" s="8" t="n">
        <f aca="true">IF(E97="","",ROUND((TODAY()-E97)/7,1))</f>
        <v>113.6</v>
      </c>
      <c r="G97" s="8" t="s">
        <v>38</v>
      </c>
      <c r="H97" s="8"/>
      <c r="I97" s="8" t="s">
        <v>192</v>
      </c>
      <c r="J97" s="8" t="s">
        <v>191</v>
      </c>
      <c r="K97" s="8" t="n">
        <v>2</v>
      </c>
      <c r="L97" s="10" t="s">
        <v>48</v>
      </c>
      <c r="M97" s="10" t="s">
        <v>48</v>
      </c>
      <c r="N97" s="10"/>
      <c r="O97" s="10"/>
      <c r="P97" s="8" t="str">
        <f aca="false">MID(IF(L97="","","; APP:"&amp;L97)&amp;IF(M97="","","; PS1:"&amp;M97)&amp;IF(N97="","","; AQP4:"&amp;N97)&amp;IF(O97="","","; CAG-EGFP:"&amp;O97),3,200)</f>
        <v>APP:+/-; PS1:+/-</v>
      </c>
      <c r="Q97" s="8" t="s">
        <v>47</v>
      </c>
      <c r="R97" s="8" t="s">
        <v>88</v>
      </c>
      <c r="S97" s="8"/>
      <c r="T97" s="8" t="s">
        <v>151</v>
      </c>
    </row>
    <row r="98" customFormat="false" ht="15" hidden="false" customHeight="false" outlineLevel="0" collapsed="false">
      <c r="A98" s="7" t="s">
        <v>287</v>
      </c>
      <c r="B98" s="8" t="s">
        <v>124</v>
      </c>
      <c r="C98" s="8" t="n">
        <v>70</v>
      </c>
      <c r="D98" s="8" t="s">
        <v>33</v>
      </c>
      <c r="E98" s="9" t="n">
        <v>45392</v>
      </c>
      <c r="F98" s="8" t="n">
        <f aca="true">IF(E98="","",ROUND((TODAY()-E98)/7,1))</f>
        <v>113.6</v>
      </c>
      <c r="G98" s="8" t="s">
        <v>38</v>
      </c>
      <c r="H98" s="8"/>
      <c r="I98" s="8" t="s">
        <v>192</v>
      </c>
      <c r="J98" s="8" t="s">
        <v>191</v>
      </c>
      <c r="K98" s="8" t="n">
        <v>2</v>
      </c>
      <c r="L98" s="10" t="s">
        <v>62</v>
      </c>
      <c r="M98" s="10" t="s">
        <v>62</v>
      </c>
      <c r="N98" s="10"/>
      <c r="O98" s="10"/>
      <c r="P98" s="8" t="str">
        <f aca="false">MID(IF(L98="","","; APP:"&amp;L98)&amp;IF(M98="","","; PS1:"&amp;M98)&amp;IF(N98="","","; AQP4:"&amp;N98)&amp;IF(O98="","","; CAG-EGFP:"&amp;O98),3,200)</f>
        <v>APP:-/-; PS1:-/-</v>
      </c>
      <c r="Q98" s="8" t="s">
        <v>47</v>
      </c>
      <c r="R98" s="8" t="s">
        <v>88</v>
      </c>
      <c r="S98" s="8"/>
      <c r="T98" s="8" t="s">
        <v>151</v>
      </c>
    </row>
    <row r="99" customFormat="false" ht="17.15" hidden="false" customHeight="false" outlineLevel="0" collapsed="false">
      <c r="A99" s="7" t="s">
        <v>288</v>
      </c>
      <c r="B99" s="8" t="s">
        <v>124</v>
      </c>
      <c r="C99" s="8" t="n">
        <v>71</v>
      </c>
      <c r="D99" s="8" t="s">
        <v>33</v>
      </c>
      <c r="E99" s="9" t="n">
        <v>45392</v>
      </c>
      <c r="F99" s="8" t="n">
        <f aca="true">IF(E99="","",ROUND((TODAY()-E99)/7,1))</f>
        <v>113.6</v>
      </c>
      <c r="G99" s="8" t="s">
        <v>38</v>
      </c>
      <c r="H99" s="8"/>
      <c r="I99" s="8" t="s">
        <v>192</v>
      </c>
      <c r="J99" s="8" t="s">
        <v>191</v>
      </c>
      <c r="K99" s="8" t="n">
        <v>2</v>
      </c>
      <c r="L99" s="10" t="s">
        <v>48</v>
      </c>
      <c r="M99" s="10" t="s">
        <v>48</v>
      </c>
      <c r="N99" s="10"/>
      <c r="O99" s="10"/>
      <c r="P99" s="8" t="str">
        <f aca="false">MID(IF(L99="","","; APP:"&amp;L99)&amp;IF(M99="","","; PS1:"&amp;M99)&amp;IF(N99="","","; AQP4:"&amp;N99)&amp;IF(O99="","","; CAG-EGFP:"&amp;O99),3,200)</f>
        <v>APP:+/-; PS1:+/-</v>
      </c>
      <c r="Q99" s="8" t="s">
        <v>47</v>
      </c>
      <c r="R99" s="8" t="s">
        <v>88</v>
      </c>
      <c r="S99" s="8"/>
      <c r="T99" s="8" t="s">
        <v>253</v>
      </c>
    </row>
    <row r="100" customFormat="false" ht="17.15" hidden="false" customHeight="false" outlineLevel="0" collapsed="false">
      <c r="A100" s="7" t="s">
        <v>289</v>
      </c>
      <c r="B100" s="8" t="s">
        <v>124</v>
      </c>
      <c r="C100" s="8" t="n">
        <v>72</v>
      </c>
      <c r="D100" s="8" t="s">
        <v>33</v>
      </c>
      <c r="E100" s="9" t="n">
        <v>45392</v>
      </c>
      <c r="F100" s="8" t="n">
        <f aca="true">IF(E100="","",ROUND((TODAY()-E100)/7,1))</f>
        <v>113.6</v>
      </c>
      <c r="G100" s="8" t="s">
        <v>38</v>
      </c>
      <c r="H100" s="8"/>
      <c r="I100" s="8" t="s">
        <v>192</v>
      </c>
      <c r="J100" s="8" t="s">
        <v>191</v>
      </c>
      <c r="K100" s="8" t="n">
        <v>2</v>
      </c>
      <c r="L100" s="10" t="s">
        <v>48</v>
      </c>
      <c r="M100" s="10" t="s">
        <v>48</v>
      </c>
      <c r="N100" s="10"/>
      <c r="O100" s="10"/>
      <c r="P100" s="8" t="str">
        <f aca="false">MID(IF(L100="","","; APP:"&amp;L100)&amp;IF(M100="","","; PS1:"&amp;M100)&amp;IF(N100="","","; AQP4:"&amp;N100)&amp;IF(O100="","","; CAG-EGFP:"&amp;O100),3,200)</f>
        <v>APP:+/-; PS1:+/-</v>
      </c>
      <c r="Q100" s="8" t="s">
        <v>47</v>
      </c>
      <c r="R100" s="8" t="s">
        <v>88</v>
      </c>
      <c r="S100" s="8"/>
      <c r="T100" s="8" t="s">
        <v>253</v>
      </c>
    </row>
    <row r="101" customFormat="false" ht="17.15" hidden="false" customHeight="false" outlineLevel="0" collapsed="false">
      <c r="A101" s="7" t="s">
        <v>290</v>
      </c>
      <c r="B101" s="8" t="s">
        <v>124</v>
      </c>
      <c r="C101" s="8" t="n">
        <v>73</v>
      </c>
      <c r="D101" s="8" t="s">
        <v>33</v>
      </c>
      <c r="E101" s="9" t="n">
        <v>45376</v>
      </c>
      <c r="F101" s="8" t="n">
        <f aca="true">IF(E101="","",ROUND((TODAY()-E101)/7,1))</f>
        <v>115.9</v>
      </c>
      <c r="G101" s="8" t="s">
        <v>38</v>
      </c>
      <c r="H101" s="8"/>
      <c r="I101" s="8" t="s">
        <v>278</v>
      </c>
      <c r="J101" s="8" t="s">
        <v>192</v>
      </c>
      <c r="K101" s="8" t="n">
        <v>2</v>
      </c>
      <c r="L101" s="10" t="s">
        <v>62</v>
      </c>
      <c r="M101" s="10" t="s">
        <v>62</v>
      </c>
      <c r="N101" s="10"/>
      <c r="O101" s="10"/>
      <c r="P101" s="8" t="str">
        <f aca="false">MID(IF(L101="","","; APP:"&amp;L101)&amp;IF(M101="","","; PS1:"&amp;M101)&amp;IF(N101="","","; AQP4:"&amp;N101)&amp;IF(O101="","","; CAG-EGFP:"&amp;O101),3,200)</f>
        <v>APP:-/-; PS1:-/-</v>
      </c>
      <c r="Q101" s="8" t="s">
        <v>47</v>
      </c>
      <c r="R101" s="8" t="s">
        <v>88</v>
      </c>
      <c r="S101" s="8"/>
      <c r="T101" s="8" t="s">
        <v>253</v>
      </c>
    </row>
    <row r="102" customFormat="false" ht="17.15" hidden="false" customHeight="false" outlineLevel="0" collapsed="false">
      <c r="A102" s="7" t="s">
        <v>291</v>
      </c>
      <c r="B102" s="8" t="s">
        <v>124</v>
      </c>
      <c r="C102" s="8" t="n">
        <v>74</v>
      </c>
      <c r="D102" s="8" t="s">
        <v>33</v>
      </c>
      <c r="E102" s="9" t="n">
        <v>45376</v>
      </c>
      <c r="F102" s="8" t="n">
        <f aca="true">IF(E102="","",ROUND((TODAY()-E102)/7,1))</f>
        <v>115.9</v>
      </c>
      <c r="G102" s="8" t="s">
        <v>38</v>
      </c>
      <c r="H102" s="8"/>
      <c r="I102" s="8" t="s">
        <v>278</v>
      </c>
      <c r="J102" s="8" t="s">
        <v>192</v>
      </c>
      <c r="K102" s="8" t="n">
        <v>2</v>
      </c>
      <c r="L102" s="10" t="s">
        <v>48</v>
      </c>
      <c r="M102" s="10" t="s">
        <v>48</v>
      </c>
      <c r="N102" s="10"/>
      <c r="O102" s="10"/>
      <c r="P102" s="8" t="str">
        <f aca="false">MID(IF(L102="","","; APP:"&amp;L102)&amp;IF(M102="","","; PS1:"&amp;M102)&amp;IF(N102="","","; AQP4:"&amp;N102)&amp;IF(O102="","","; CAG-EGFP:"&amp;O102),3,200)</f>
        <v>APP:+/-; PS1:+/-</v>
      </c>
      <c r="Q102" s="8" t="s">
        <v>47</v>
      </c>
      <c r="R102" s="8" t="s">
        <v>88</v>
      </c>
      <c r="S102" s="8"/>
      <c r="T102" s="8" t="s">
        <v>151</v>
      </c>
    </row>
    <row r="103" customFormat="false" ht="17.15" hidden="false" customHeight="false" outlineLevel="0" collapsed="false">
      <c r="A103" s="7" t="s">
        <v>292</v>
      </c>
      <c r="B103" s="8" t="s">
        <v>124</v>
      </c>
      <c r="C103" s="8" t="n">
        <v>75</v>
      </c>
      <c r="D103" s="8" t="s">
        <v>33</v>
      </c>
      <c r="E103" s="9" t="n">
        <v>45376</v>
      </c>
      <c r="F103" s="8" t="n">
        <f aca="true">IF(E103="","",ROUND((TODAY()-E103)/7,1))</f>
        <v>115.9</v>
      </c>
      <c r="G103" s="8" t="s">
        <v>38</v>
      </c>
      <c r="H103" s="8"/>
      <c r="I103" s="8" t="s">
        <v>278</v>
      </c>
      <c r="J103" s="8" t="s">
        <v>192</v>
      </c>
      <c r="K103" s="8" t="n">
        <v>2</v>
      </c>
      <c r="L103" s="10" t="s">
        <v>48</v>
      </c>
      <c r="M103" s="10" t="s">
        <v>48</v>
      </c>
      <c r="N103" s="10"/>
      <c r="O103" s="10"/>
      <c r="P103" s="8" t="str">
        <f aca="false">MID(IF(L103="","","; APP:"&amp;L103)&amp;IF(M103="","","; PS1:"&amp;M103)&amp;IF(N103="","","; AQP4:"&amp;N103)&amp;IF(O103="","","; CAG-EGFP:"&amp;O103),3,200)</f>
        <v>APP:+/-; PS1:+/-</v>
      </c>
      <c r="Q103" s="8" t="s">
        <v>47</v>
      </c>
      <c r="R103" s="8" t="s">
        <v>88</v>
      </c>
      <c r="S103" s="8"/>
      <c r="T103" s="11" t="s">
        <v>293</v>
      </c>
    </row>
    <row r="104" customFormat="false" ht="17.15" hidden="false" customHeight="false" outlineLevel="0" collapsed="false">
      <c r="A104" s="7" t="s">
        <v>294</v>
      </c>
      <c r="B104" s="8" t="s">
        <v>124</v>
      </c>
      <c r="C104" s="8" t="n">
        <v>76</v>
      </c>
      <c r="D104" s="8" t="s">
        <v>33</v>
      </c>
      <c r="E104" s="9" t="n">
        <v>45376</v>
      </c>
      <c r="F104" s="8" t="n">
        <f aca="true">IF(E104="","",ROUND((TODAY()-E104)/7,1))</f>
        <v>115.9</v>
      </c>
      <c r="G104" s="8" t="s">
        <v>38</v>
      </c>
      <c r="H104" s="8"/>
      <c r="I104" s="8" t="s">
        <v>278</v>
      </c>
      <c r="J104" s="8" t="s">
        <v>192</v>
      </c>
      <c r="K104" s="8" t="n">
        <v>2</v>
      </c>
      <c r="L104" s="10" t="s">
        <v>48</v>
      </c>
      <c r="M104" s="10" t="s">
        <v>48</v>
      </c>
      <c r="N104" s="10"/>
      <c r="O104" s="10"/>
      <c r="P104" s="8" t="str">
        <f aca="false">MID(IF(L104="","","; APP:"&amp;L104)&amp;IF(M104="","","; PS1:"&amp;M104)&amp;IF(N104="","","; AQP4:"&amp;N104)&amp;IF(O104="","","; CAG-EGFP:"&amp;O104),3,200)</f>
        <v>APP:+/-; PS1:+/-</v>
      </c>
      <c r="Q104" s="8" t="s">
        <v>47</v>
      </c>
      <c r="R104" s="8" t="s">
        <v>88</v>
      </c>
      <c r="S104" s="8"/>
      <c r="T104" s="8" t="s">
        <v>151</v>
      </c>
    </row>
    <row r="105" customFormat="false" ht="17.15" hidden="false" customHeight="false" outlineLevel="0" collapsed="false">
      <c r="A105" s="7" t="s">
        <v>295</v>
      </c>
      <c r="B105" s="8" t="s">
        <v>124</v>
      </c>
      <c r="C105" s="8" t="n">
        <v>77</v>
      </c>
      <c r="D105" s="8" t="s">
        <v>46</v>
      </c>
      <c r="E105" s="9" t="n">
        <v>45392</v>
      </c>
      <c r="F105" s="8" t="n">
        <f aca="true">IF(E105="","",ROUND((TODAY()-E105)/7,1))</f>
        <v>113.6</v>
      </c>
      <c r="G105" s="8" t="s">
        <v>38</v>
      </c>
      <c r="H105" s="8"/>
      <c r="I105" s="8" t="s">
        <v>192</v>
      </c>
      <c r="J105" s="8" t="s">
        <v>191</v>
      </c>
      <c r="K105" s="8" t="n">
        <v>2</v>
      </c>
      <c r="L105" s="10" t="s">
        <v>48</v>
      </c>
      <c r="M105" s="10" t="s">
        <v>48</v>
      </c>
      <c r="N105" s="10"/>
      <c r="O105" s="10"/>
      <c r="P105" s="8" t="str">
        <f aca="false">MID(IF(L105="","","; APP:"&amp;L105)&amp;IF(M105="","","; PS1:"&amp;M105)&amp;IF(N105="","","; AQP4:"&amp;N105)&amp;IF(O105="","","; CAG-EGFP:"&amp;O105),3,200)</f>
        <v>APP:+/-; PS1:+/-</v>
      </c>
      <c r="Q105" s="8" t="s">
        <v>47</v>
      </c>
      <c r="R105" s="8" t="s">
        <v>88</v>
      </c>
      <c r="S105" s="8"/>
      <c r="T105" s="8" t="s">
        <v>253</v>
      </c>
    </row>
    <row r="106" customFormat="false" ht="17.15" hidden="false" customHeight="false" outlineLevel="0" collapsed="false">
      <c r="A106" s="7" t="s">
        <v>296</v>
      </c>
      <c r="B106" s="8" t="s">
        <v>124</v>
      </c>
      <c r="C106" s="8" t="n">
        <v>78</v>
      </c>
      <c r="D106" s="8" t="s">
        <v>46</v>
      </c>
      <c r="E106" s="9" t="n">
        <v>45392</v>
      </c>
      <c r="F106" s="8" t="n">
        <f aca="true">IF(E106="","",ROUND((TODAY()-E106)/7,1))</f>
        <v>113.6</v>
      </c>
      <c r="G106" s="8" t="s">
        <v>38</v>
      </c>
      <c r="H106" s="8"/>
      <c r="I106" s="8" t="s">
        <v>192</v>
      </c>
      <c r="J106" s="8" t="s">
        <v>191</v>
      </c>
      <c r="K106" s="8" t="n">
        <v>2</v>
      </c>
      <c r="L106" s="10" t="s">
        <v>62</v>
      </c>
      <c r="M106" s="10" t="s">
        <v>62</v>
      </c>
      <c r="N106" s="10"/>
      <c r="O106" s="10"/>
      <c r="P106" s="8" t="str">
        <f aca="false">MID(IF(L106="","","; APP:"&amp;L106)&amp;IF(M106="","","; PS1:"&amp;M106)&amp;IF(N106="","","; AQP4:"&amp;N106)&amp;IF(O106="","","; CAG-EGFP:"&amp;O106),3,200)</f>
        <v>APP:-/-; PS1:-/-</v>
      </c>
      <c r="Q106" s="8" t="s">
        <v>47</v>
      </c>
      <c r="R106" s="8" t="s">
        <v>88</v>
      </c>
      <c r="S106" s="8"/>
      <c r="T106" s="8" t="s">
        <v>253</v>
      </c>
    </row>
    <row r="107" customFormat="false" ht="17.15" hidden="false" customHeight="false" outlineLevel="0" collapsed="false">
      <c r="A107" s="7" t="s">
        <v>297</v>
      </c>
      <c r="B107" s="8" t="s">
        <v>124</v>
      </c>
      <c r="C107" s="8" t="n">
        <v>79</v>
      </c>
      <c r="D107" s="8" t="s">
        <v>46</v>
      </c>
      <c r="E107" s="9" t="n">
        <v>45392</v>
      </c>
      <c r="F107" s="8" t="n">
        <f aca="true">IF(E107="","",ROUND((TODAY()-E107)/7,1))</f>
        <v>113.6</v>
      </c>
      <c r="G107" s="8" t="s">
        <v>38</v>
      </c>
      <c r="H107" s="8"/>
      <c r="I107" s="8" t="s">
        <v>192</v>
      </c>
      <c r="J107" s="8" t="s">
        <v>191</v>
      </c>
      <c r="K107" s="8" t="n">
        <v>2</v>
      </c>
      <c r="L107" s="10" t="s">
        <v>62</v>
      </c>
      <c r="M107" s="10" t="s">
        <v>62</v>
      </c>
      <c r="N107" s="10"/>
      <c r="O107" s="10"/>
      <c r="P107" s="8" t="str">
        <f aca="false">MID(IF(L107="","","; APP:"&amp;L107)&amp;IF(M107="","","; PS1:"&amp;M107)&amp;IF(N107="","","; AQP4:"&amp;N107)&amp;IF(O107="","","; CAG-EGFP:"&amp;O107),3,200)</f>
        <v>APP:-/-; PS1:-/-</v>
      </c>
      <c r="Q107" s="8" t="s">
        <v>47</v>
      </c>
      <c r="R107" s="8" t="s">
        <v>88</v>
      </c>
      <c r="S107" s="8"/>
      <c r="T107" s="8" t="s">
        <v>253</v>
      </c>
    </row>
    <row r="108" customFormat="false" ht="17.15" hidden="false" customHeight="false" outlineLevel="0" collapsed="false">
      <c r="A108" s="7" t="s">
        <v>298</v>
      </c>
      <c r="B108" s="8" t="s">
        <v>124</v>
      </c>
      <c r="C108" s="8" t="n">
        <v>80</v>
      </c>
      <c r="D108" s="8" t="s">
        <v>46</v>
      </c>
      <c r="E108" s="9" t="n">
        <v>45392</v>
      </c>
      <c r="F108" s="8" t="n">
        <f aca="true">IF(E108="","",ROUND((TODAY()-E108)/7,1))</f>
        <v>113.6</v>
      </c>
      <c r="G108" s="8" t="s">
        <v>38</v>
      </c>
      <c r="H108" s="8"/>
      <c r="I108" s="8" t="s">
        <v>192</v>
      </c>
      <c r="J108" s="8" t="s">
        <v>191</v>
      </c>
      <c r="K108" s="8" t="n">
        <v>2</v>
      </c>
      <c r="L108" s="10" t="s">
        <v>62</v>
      </c>
      <c r="M108" s="10" t="s">
        <v>62</v>
      </c>
      <c r="N108" s="10"/>
      <c r="O108" s="10"/>
      <c r="P108" s="8" t="str">
        <f aca="false">MID(IF(L108="","","; APP:"&amp;L108)&amp;IF(M108="","","; PS1:"&amp;M108)&amp;IF(N108="","","; AQP4:"&amp;N108)&amp;IF(O108="","","; CAG-EGFP:"&amp;O108),3,200)</f>
        <v>APP:-/-; PS1:-/-</v>
      </c>
      <c r="Q108" s="8" t="s">
        <v>47</v>
      </c>
      <c r="R108" s="8" t="s">
        <v>88</v>
      </c>
      <c r="S108" s="8"/>
      <c r="T108" s="8" t="s">
        <v>284</v>
      </c>
    </row>
    <row r="109" customFormat="false" ht="17.15" hidden="false" customHeight="false" outlineLevel="0" collapsed="false">
      <c r="A109" s="7" t="s">
        <v>299</v>
      </c>
      <c r="B109" s="8" t="s">
        <v>124</v>
      </c>
      <c r="C109" s="8" t="n">
        <v>81</v>
      </c>
      <c r="D109" s="8" t="s">
        <v>46</v>
      </c>
      <c r="E109" s="9" t="n">
        <v>45392</v>
      </c>
      <c r="F109" s="8" t="n">
        <f aca="true">IF(E109="","",ROUND((TODAY()-E109)/7,1))</f>
        <v>113.6</v>
      </c>
      <c r="G109" s="8" t="s">
        <v>38</v>
      </c>
      <c r="H109" s="8"/>
      <c r="I109" s="8" t="s">
        <v>192</v>
      </c>
      <c r="J109" s="8" t="s">
        <v>191</v>
      </c>
      <c r="K109" s="8" t="n">
        <v>2</v>
      </c>
      <c r="L109" s="10" t="s">
        <v>48</v>
      </c>
      <c r="M109" s="10" t="s">
        <v>48</v>
      </c>
      <c r="N109" s="10"/>
      <c r="O109" s="10"/>
      <c r="P109" s="8" t="str">
        <f aca="false">MID(IF(L109="","","; APP:"&amp;L109)&amp;IF(M109="","","; PS1:"&amp;M109)&amp;IF(N109="","","; AQP4:"&amp;N109)&amp;IF(O109="","","; CAG-EGFP:"&amp;O109),3,200)</f>
        <v>APP:+/-; PS1:+/-</v>
      </c>
      <c r="Q109" s="8" t="s">
        <v>47</v>
      </c>
      <c r="R109" s="8" t="s">
        <v>88</v>
      </c>
      <c r="S109" s="8"/>
      <c r="T109" s="8" t="s">
        <v>253</v>
      </c>
    </row>
    <row r="110" customFormat="false" ht="15" hidden="false" customHeight="false" outlineLevel="0" collapsed="false">
      <c r="A110" s="7" t="s">
        <v>300</v>
      </c>
      <c r="B110" s="8" t="s">
        <v>124</v>
      </c>
      <c r="C110" s="8" t="n">
        <v>82</v>
      </c>
      <c r="D110" s="8" t="s">
        <v>33</v>
      </c>
      <c r="E110" s="9" t="n">
        <v>45404</v>
      </c>
      <c r="F110" s="8" t="n">
        <f aca="true">IF(E110="","",ROUND((TODAY()-E110)/7,1))</f>
        <v>111.9</v>
      </c>
      <c r="G110" s="8" t="s">
        <v>38</v>
      </c>
      <c r="H110" s="8"/>
      <c r="I110" s="8" t="s">
        <v>192</v>
      </c>
      <c r="J110" s="8" t="s">
        <v>191</v>
      </c>
      <c r="K110" s="8" t="n">
        <v>2</v>
      </c>
      <c r="L110" s="10" t="s">
        <v>48</v>
      </c>
      <c r="M110" s="10" t="s">
        <v>48</v>
      </c>
      <c r="N110" s="10"/>
      <c r="O110" s="10"/>
      <c r="P110" s="8" t="str">
        <f aca="false">MID(IF(L110="","","; APP:"&amp;L110)&amp;IF(M110="","","; PS1:"&amp;M110)&amp;IF(N110="","","; AQP4:"&amp;N110)&amp;IF(O110="","","; CAG-EGFP:"&amp;O110),3,200)</f>
        <v>APP:+/-; PS1:+/-</v>
      </c>
      <c r="Q110" s="8" t="s">
        <v>47</v>
      </c>
      <c r="R110" s="8" t="s">
        <v>88</v>
      </c>
      <c r="S110" s="8"/>
      <c r="T110" s="8" t="s">
        <v>151</v>
      </c>
    </row>
    <row r="111" customFormat="false" ht="15" hidden="false" customHeight="false" outlineLevel="0" collapsed="false">
      <c r="A111" s="7" t="s">
        <v>301</v>
      </c>
      <c r="B111" s="8" t="s">
        <v>124</v>
      </c>
      <c r="C111" s="8" t="n">
        <v>83</v>
      </c>
      <c r="D111" s="8" t="s">
        <v>33</v>
      </c>
      <c r="E111" s="9" t="n">
        <v>45404</v>
      </c>
      <c r="F111" s="8" t="n">
        <f aca="true">IF(E111="","",ROUND((TODAY()-E111)/7,1))</f>
        <v>111.9</v>
      </c>
      <c r="G111" s="8" t="s">
        <v>38</v>
      </c>
      <c r="H111" s="8"/>
      <c r="I111" s="8" t="s">
        <v>192</v>
      </c>
      <c r="J111" s="8" t="s">
        <v>191</v>
      </c>
      <c r="K111" s="8" t="n">
        <v>2</v>
      </c>
      <c r="L111" s="10" t="s">
        <v>48</v>
      </c>
      <c r="M111" s="10" t="s">
        <v>48</v>
      </c>
      <c r="N111" s="10"/>
      <c r="O111" s="10"/>
      <c r="P111" s="8" t="str">
        <f aca="false">MID(IF(L111="","","; APP:"&amp;L111)&amp;IF(M111="","","; PS1:"&amp;M111)&amp;IF(N111="","","; AQP4:"&amp;N111)&amp;IF(O111="","","; CAG-EGFP:"&amp;O111),3,200)</f>
        <v>APP:+/-; PS1:+/-</v>
      </c>
      <c r="Q111" s="8" t="s">
        <v>47</v>
      </c>
      <c r="R111" s="8" t="s">
        <v>88</v>
      </c>
      <c r="S111" s="8"/>
      <c r="T111" s="8" t="s">
        <v>151</v>
      </c>
    </row>
    <row r="112" customFormat="false" ht="15" hidden="false" customHeight="false" outlineLevel="0" collapsed="false">
      <c r="A112" s="7" t="s">
        <v>302</v>
      </c>
      <c r="B112" s="8" t="s">
        <v>124</v>
      </c>
      <c r="C112" s="8" t="n">
        <v>84</v>
      </c>
      <c r="D112" s="8" t="s">
        <v>46</v>
      </c>
      <c r="E112" s="9" t="n">
        <v>45404</v>
      </c>
      <c r="F112" s="8" t="n">
        <f aca="true">IF(E112="","",ROUND((TODAY()-E112)/7,1))</f>
        <v>111.9</v>
      </c>
      <c r="G112" s="8" t="s">
        <v>38</v>
      </c>
      <c r="H112" s="8"/>
      <c r="I112" s="8" t="s">
        <v>192</v>
      </c>
      <c r="J112" s="8" t="s">
        <v>191</v>
      </c>
      <c r="K112" s="8" t="n">
        <v>2</v>
      </c>
      <c r="L112" s="10" t="s">
        <v>48</v>
      </c>
      <c r="M112" s="10" t="s">
        <v>48</v>
      </c>
      <c r="N112" s="10"/>
      <c r="O112" s="10"/>
      <c r="P112" s="8" t="str">
        <f aca="false">MID(IF(L112="","","; APP:"&amp;L112)&amp;IF(M112="","","; PS1:"&amp;M112)&amp;IF(N112="","","; AQP4:"&amp;N112)&amp;IF(O112="","","; CAG-EGFP:"&amp;O112),3,200)</f>
        <v>APP:+/-; PS1:+/-</v>
      </c>
      <c r="Q112" s="8" t="s">
        <v>47</v>
      </c>
      <c r="R112" s="8" t="s">
        <v>88</v>
      </c>
      <c r="S112" s="8"/>
      <c r="T112" s="8" t="s">
        <v>151</v>
      </c>
    </row>
    <row r="113" customFormat="false" ht="17.15" hidden="false" customHeight="false" outlineLevel="0" collapsed="false">
      <c r="A113" s="7" t="s">
        <v>303</v>
      </c>
      <c r="B113" s="8" t="s">
        <v>124</v>
      </c>
      <c r="C113" s="8" t="n">
        <v>85</v>
      </c>
      <c r="D113" s="8" t="s">
        <v>46</v>
      </c>
      <c r="E113" s="9" t="n">
        <v>45404</v>
      </c>
      <c r="F113" s="8" t="n">
        <f aca="true">IF(E113="","",ROUND((TODAY()-E113)/7,1))</f>
        <v>111.9</v>
      </c>
      <c r="G113" s="8" t="s">
        <v>38</v>
      </c>
      <c r="H113" s="8"/>
      <c r="I113" s="8" t="s">
        <v>192</v>
      </c>
      <c r="J113" s="8" t="s">
        <v>191</v>
      </c>
      <c r="K113" s="8" t="n">
        <v>2</v>
      </c>
      <c r="L113" s="10" t="s">
        <v>62</v>
      </c>
      <c r="M113" s="10" t="s">
        <v>62</v>
      </c>
      <c r="N113" s="10"/>
      <c r="O113" s="10"/>
      <c r="P113" s="8" t="str">
        <f aca="false">MID(IF(L113="","","; APP:"&amp;L113)&amp;IF(M113="","","; PS1:"&amp;M113)&amp;IF(N113="","","; AQP4:"&amp;N113)&amp;IF(O113="","","; CAG-EGFP:"&amp;O113),3,200)</f>
        <v>APP:-/-; PS1:-/-</v>
      </c>
      <c r="Q113" s="8" t="s">
        <v>47</v>
      </c>
      <c r="R113" s="8" t="s">
        <v>88</v>
      </c>
      <c r="S113" s="8"/>
      <c r="T113" s="8" t="s">
        <v>284</v>
      </c>
    </row>
    <row r="114" customFormat="false" ht="17.15" hidden="false" customHeight="false" outlineLevel="0" collapsed="false">
      <c r="A114" s="7" t="s">
        <v>304</v>
      </c>
      <c r="B114" s="8" t="s">
        <v>124</v>
      </c>
      <c r="C114" s="8" t="n">
        <v>86</v>
      </c>
      <c r="D114" s="8" t="s">
        <v>46</v>
      </c>
      <c r="E114" s="9" t="n">
        <v>45404</v>
      </c>
      <c r="F114" s="8" t="n">
        <f aca="true">IF(E114="","",ROUND((TODAY()-E114)/7,1))</f>
        <v>111.9</v>
      </c>
      <c r="G114" s="8" t="s">
        <v>38</v>
      </c>
      <c r="H114" s="8"/>
      <c r="I114" s="8" t="s">
        <v>192</v>
      </c>
      <c r="J114" s="8" t="s">
        <v>191</v>
      </c>
      <c r="K114" s="8" t="n">
        <v>2</v>
      </c>
      <c r="L114" s="10" t="s">
        <v>62</v>
      </c>
      <c r="M114" s="10" t="s">
        <v>62</v>
      </c>
      <c r="N114" s="10"/>
      <c r="O114" s="10"/>
      <c r="P114" s="8" t="str">
        <f aca="false">MID(IF(L114="","","; APP:"&amp;L114)&amp;IF(M114="","","; PS1:"&amp;M114)&amp;IF(N114="","","; AQP4:"&amp;N114)&amp;IF(O114="","","; CAG-EGFP:"&amp;O114),3,200)</f>
        <v>APP:-/-; PS1:-/-</v>
      </c>
      <c r="Q114" s="8" t="s">
        <v>47</v>
      </c>
      <c r="R114" s="8" t="s">
        <v>88</v>
      </c>
      <c r="S114" s="8"/>
      <c r="T114" s="8" t="s">
        <v>284</v>
      </c>
    </row>
    <row r="115" customFormat="false" ht="15" hidden="false" customHeight="false" outlineLevel="0" collapsed="false">
      <c r="A115" s="7" t="s">
        <v>305</v>
      </c>
      <c r="B115" s="8" t="s">
        <v>124</v>
      </c>
      <c r="C115" s="8" t="n">
        <v>87</v>
      </c>
      <c r="D115" s="8" t="s">
        <v>33</v>
      </c>
      <c r="E115" s="9" t="n">
        <v>45610</v>
      </c>
      <c r="F115" s="8" t="n">
        <f aca="true">IF(E115="","",ROUND((TODAY()-E115)/7,1))</f>
        <v>82.4</v>
      </c>
      <c r="G115" s="8" t="s">
        <v>38</v>
      </c>
      <c r="H115" s="8"/>
      <c r="I115" s="8" t="s">
        <v>306</v>
      </c>
      <c r="J115" s="8" t="s">
        <v>307</v>
      </c>
      <c r="K115" s="8" t="n">
        <v>3</v>
      </c>
      <c r="L115" s="10" t="s">
        <v>62</v>
      </c>
      <c r="M115" s="10" t="s">
        <v>62</v>
      </c>
      <c r="N115" s="10"/>
      <c r="O115" s="10"/>
      <c r="P115" s="8" t="str">
        <f aca="false">MID(IF(L115="","","; APP:"&amp;L115)&amp;IF(M115="","","; PS1:"&amp;M115)&amp;IF(N115="","","; AQP4:"&amp;N115)&amp;IF(O115="","","; CAG-EGFP:"&amp;O115),3,200)</f>
        <v>APP:-/-; PS1:-/-</v>
      </c>
      <c r="Q115" s="8" t="s">
        <v>47</v>
      </c>
      <c r="R115" s="8" t="s">
        <v>14</v>
      </c>
      <c r="S115" s="8"/>
      <c r="T115" s="8" t="s">
        <v>151</v>
      </c>
    </row>
    <row r="116" customFormat="false" ht="15" hidden="false" customHeight="false" outlineLevel="0" collapsed="false">
      <c r="A116" s="7" t="s">
        <v>308</v>
      </c>
      <c r="B116" s="8" t="s">
        <v>124</v>
      </c>
      <c r="C116" s="8" t="n">
        <v>88</v>
      </c>
      <c r="D116" s="8" t="s">
        <v>33</v>
      </c>
      <c r="E116" s="9" t="n">
        <v>45610</v>
      </c>
      <c r="F116" s="8" t="n">
        <f aca="true">IF(E116="","",ROUND((TODAY()-E116)/7,1))</f>
        <v>82.4</v>
      </c>
      <c r="G116" s="8" t="s">
        <v>38</v>
      </c>
      <c r="H116" s="8"/>
      <c r="I116" s="8" t="s">
        <v>306</v>
      </c>
      <c r="J116" s="8" t="s">
        <v>307</v>
      </c>
      <c r="K116" s="8" t="n">
        <v>3</v>
      </c>
      <c r="L116" s="10" t="s">
        <v>62</v>
      </c>
      <c r="M116" s="10" t="s">
        <v>62</v>
      </c>
      <c r="N116" s="10"/>
      <c r="O116" s="10"/>
      <c r="P116" s="8" t="str">
        <f aca="false">MID(IF(L116="","","; APP:"&amp;L116)&amp;IF(M116="","","; PS1:"&amp;M116)&amp;IF(N116="","","; AQP4:"&amp;N116)&amp;IF(O116="","","; CAG-EGFP:"&amp;O116),3,200)</f>
        <v>APP:-/-; PS1:-/-</v>
      </c>
      <c r="Q116" s="8" t="s">
        <v>47</v>
      </c>
      <c r="R116" s="8" t="s">
        <v>14</v>
      </c>
      <c r="S116" s="8"/>
      <c r="T116" s="8" t="s">
        <v>151</v>
      </c>
    </row>
    <row r="117" customFormat="false" ht="15" hidden="false" customHeight="false" outlineLevel="0" collapsed="false">
      <c r="A117" s="7" t="s">
        <v>309</v>
      </c>
      <c r="B117" s="8" t="s">
        <v>124</v>
      </c>
      <c r="C117" s="8" t="n">
        <v>89</v>
      </c>
      <c r="D117" s="8" t="s">
        <v>33</v>
      </c>
      <c r="E117" s="9" t="n">
        <v>45610</v>
      </c>
      <c r="F117" s="8" t="n">
        <f aca="true">IF(E117="","",ROUND((TODAY()-E117)/7,1))</f>
        <v>82.4</v>
      </c>
      <c r="G117" s="8" t="s">
        <v>38</v>
      </c>
      <c r="H117" s="8"/>
      <c r="I117" s="8" t="s">
        <v>306</v>
      </c>
      <c r="J117" s="8" t="s">
        <v>307</v>
      </c>
      <c r="K117" s="8" t="n">
        <v>3</v>
      </c>
      <c r="L117" s="10" t="s">
        <v>62</v>
      </c>
      <c r="M117" s="10" t="s">
        <v>62</v>
      </c>
      <c r="N117" s="10"/>
      <c r="O117" s="10"/>
      <c r="P117" s="8" t="str">
        <f aca="false">MID(IF(L117="","","; APP:"&amp;L117)&amp;IF(M117="","","; PS1:"&amp;M117)&amp;IF(N117="","","; AQP4:"&amp;N117)&amp;IF(O117="","","; CAG-EGFP:"&amp;O117),3,200)</f>
        <v>APP:-/-; PS1:-/-</v>
      </c>
      <c r="Q117" s="8" t="s">
        <v>47</v>
      </c>
      <c r="R117" s="8" t="s">
        <v>14</v>
      </c>
      <c r="S117" s="8"/>
      <c r="T117" s="8" t="s">
        <v>151</v>
      </c>
    </row>
    <row r="118" customFormat="false" ht="15" hidden="false" customHeight="false" outlineLevel="0" collapsed="false">
      <c r="A118" s="7" t="s">
        <v>310</v>
      </c>
      <c r="B118" s="8" t="s">
        <v>124</v>
      </c>
      <c r="C118" s="8" t="n">
        <v>90</v>
      </c>
      <c r="D118" s="8" t="s">
        <v>33</v>
      </c>
      <c r="E118" s="9" t="n">
        <v>45610</v>
      </c>
      <c r="F118" s="8" t="n">
        <f aca="true">IF(E118="","",ROUND((TODAY()-E118)/7,1))</f>
        <v>82.4</v>
      </c>
      <c r="G118" s="8" t="s">
        <v>38</v>
      </c>
      <c r="H118" s="8"/>
      <c r="I118" s="8" t="s">
        <v>306</v>
      </c>
      <c r="J118" s="8" t="s">
        <v>307</v>
      </c>
      <c r="K118" s="8" t="n">
        <v>3</v>
      </c>
      <c r="L118" s="10" t="s">
        <v>48</v>
      </c>
      <c r="M118" s="10" t="s">
        <v>48</v>
      </c>
      <c r="N118" s="10"/>
      <c r="O118" s="10"/>
      <c r="P118" s="8" t="str">
        <f aca="false">MID(IF(L118="","","; APP:"&amp;L118)&amp;IF(M118="","","; PS1:"&amp;M118)&amp;IF(N118="","","; AQP4:"&amp;N118)&amp;IF(O118="","","; CAG-EGFP:"&amp;O118),3,200)</f>
        <v>APP:+/-; PS1:+/-</v>
      </c>
      <c r="Q118" s="8" t="s">
        <v>47</v>
      </c>
      <c r="R118" s="8" t="s">
        <v>14</v>
      </c>
      <c r="S118" s="8"/>
      <c r="T118" s="8" t="s">
        <v>151</v>
      </c>
    </row>
    <row r="119" customFormat="false" ht="15" hidden="false" customHeight="false" outlineLevel="0" collapsed="false">
      <c r="A119" s="7" t="s">
        <v>311</v>
      </c>
      <c r="B119" s="8" t="s">
        <v>124</v>
      </c>
      <c r="C119" s="8" t="n">
        <v>91</v>
      </c>
      <c r="D119" s="8" t="s">
        <v>46</v>
      </c>
      <c r="E119" s="9" t="n">
        <v>45610</v>
      </c>
      <c r="F119" s="8" t="n">
        <f aca="true">IF(E119="","",ROUND((TODAY()-E119)/7,1))</f>
        <v>82.4</v>
      </c>
      <c r="G119" s="8" t="s">
        <v>38</v>
      </c>
      <c r="H119" s="8"/>
      <c r="I119" s="8" t="s">
        <v>306</v>
      </c>
      <c r="J119" s="8" t="s">
        <v>307</v>
      </c>
      <c r="K119" s="8" t="n">
        <v>3</v>
      </c>
      <c r="L119" s="10" t="s">
        <v>62</v>
      </c>
      <c r="M119" s="10" t="s">
        <v>62</v>
      </c>
      <c r="N119" s="10"/>
      <c r="O119" s="10"/>
      <c r="P119" s="8" t="str">
        <f aca="false">MID(IF(L119="","","; APP:"&amp;L119)&amp;IF(M119="","","; PS1:"&amp;M119)&amp;IF(N119="","","; AQP4:"&amp;N119)&amp;IF(O119="","","; CAG-EGFP:"&amp;O119),3,200)</f>
        <v>APP:-/-; PS1:-/-</v>
      </c>
      <c r="Q119" s="8" t="s">
        <v>47</v>
      </c>
      <c r="R119" s="8" t="s">
        <v>88</v>
      </c>
      <c r="S119" s="8"/>
      <c r="T119" s="8" t="s">
        <v>151</v>
      </c>
    </row>
    <row r="120" customFormat="false" ht="15" hidden="false" customHeight="false" outlineLevel="0" collapsed="false">
      <c r="A120" s="7" t="s">
        <v>312</v>
      </c>
      <c r="B120" s="8" t="s">
        <v>124</v>
      </c>
      <c r="C120" s="8" t="n">
        <v>92</v>
      </c>
      <c r="D120" s="8" t="s">
        <v>46</v>
      </c>
      <c r="E120" s="9" t="n">
        <v>45610</v>
      </c>
      <c r="F120" s="8" t="n">
        <f aca="true">IF(E120="","",ROUND((TODAY()-E120)/7,1))</f>
        <v>82.4</v>
      </c>
      <c r="G120" s="8" t="s">
        <v>38</v>
      </c>
      <c r="H120" s="8"/>
      <c r="I120" s="8" t="s">
        <v>306</v>
      </c>
      <c r="J120" s="8" t="s">
        <v>307</v>
      </c>
      <c r="K120" s="8" t="n">
        <v>3</v>
      </c>
      <c r="L120" s="10" t="s">
        <v>48</v>
      </c>
      <c r="M120" s="10" t="s">
        <v>48</v>
      </c>
      <c r="N120" s="10"/>
      <c r="O120" s="10"/>
      <c r="P120" s="8" t="str">
        <f aca="false">MID(IF(L120="","","; APP:"&amp;L120)&amp;IF(M120="","","; PS1:"&amp;M120)&amp;IF(N120="","","; AQP4:"&amp;N120)&amp;IF(O120="","","; CAG-EGFP:"&amp;O120),3,200)</f>
        <v>APP:+/-; PS1:+/-</v>
      </c>
      <c r="Q120" s="8" t="s">
        <v>47</v>
      </c>
      <c r="R120" s="8" t="s">
        <v>88</v>
      </c>
      <c r="S120" s="8"/>
      <c r="T120" s="8" t="s">
        <v>151</v>
      </c>
    </row>
    <row r="121" customFormat="false" ht="15" hidden="false" customHeight="false" outlineLevel="0" collapsed="false">
      <c r="A121" s="7" t="s">
        <v>313</v>
      </c>
      <c r="B121" s="8" t="s">
        <v>124</v>
      </c>
      <c r="C121" s="8" t="n">
        <v>93</v>
      </c>
      <c r="D121" s="8" t="s">
        <v>46</v>
      </c>
      <c r="E121" s="9" t="n">
        <v>45610</v>
      </c>
      <c r="F121" s="8" t="n">
        <f aca="true">IF(E121="","",ROUND((TODAY()-E121)/7,1))</f>
        <v>82.4</v>
      </c>
      <c r="G121" s="8" t="s">
        <v>38</v>
      </c>
      <c r="H121" s="8"/>
      <c r="I121" s="8" t="s">
        <v>306</v>
      </c>
      <c r="J121" s="8" t="s">
        <v>307</v>
      </c>
      <c r="K121" s="8" t="n">
        <v>3</v>
      </c>
      <c r="L121" s="10" t="s">
        <v>48</v>
      </c>
      <c r="M121" s="10" t="s">
        <v>48</v>
      </c>
      <c r="N121" s="10"/>
      <c r="O121" s="10"/>
      <c r="P121" s="8" t="str">
        <f aca="false">MID(IF(L121="","","; APP:"&amp;L121)&amp;IF(M121="","","; PS1:"&amp;M121)&amp;IF(N121="","","; AQP4:"&amp;N121)&amp;IF(O121="","","; CAG-EGFP:"&amp;O121),3,200)</f>
        <v>APP:+/-; PS1:+/-</v>
      </c>
      <c r="Q121" s="8" t="s">
        <v>47</v>
      </c>
      <c r="R121" s="8" t="s">
        <v>88</v>
      </c>
      <c r="S121" s="8"/>
      <c r="T121" s="8" t="s">
        <v>151</v>
      </c>
    </row>
    <row r="122" customFormat="false" ht="15" hidden="false" customHeight="false" outlineLevel="0" collapsed="false">
      <c r="A122" s="7" t="s">
        <v>314</v>
      </c>
      <c r="B122" s="8" t="s">
        <v>124</v>
      </c>
      <c r="C122" s="8" t="n">
        <v>94</v>
      </c>
      <c r="D122" s="8" t="s">
        <v>46</v>
      </c>
      <c r="E122" s="9" t="n">
        <v>45624</v>
      </c>
      <c r="F122" s="8" t="n">
        <f aca="true">IF(E122="","",ROUND((TODAY()-E122)/7,1))</f>
        <v>80.4</v>
      </c>
      <c r="G122" s="8" t="s">
        <v>38</v>
      </c>
      <c r="H122" s="8"/>
      <c r="I122" s="8" t="s">
        <v>315</v>
      </c>
      <c r="J122" s="8" t="s">
        <v>316</v>
      </c>
      <c r="K122" s="8" t="n">
        <v>3</v>
      </c>
      <c r="L122" s="10" t="s">
        <v>62</v>
      </c>
      <c r="M122" s="10" t="s">
        <v>62</v>
      </c>
      <c r="N122" s="10"/>
      <c r="O122" s="10"/>
      <c r="P122" s="8" t="str">
        <f aca="false">MID(IF(L122="","","; APP:"&amp;L122)&amp;IF(M122="","","; PS1:"&amp;M122)&amp;IF(N122="","","; AQP4:"&amp;N122)&amp;IF(O122="","","; CAG-EGFP:"&amp;O122),3,200)</f>
        <v>APP:-/-; PS1:-/-</v>
      </c>
      <c r="Q122" s="8" t="s">
        <v>47</v>
      </c>
      <c r="R122" s="8" t="s">
        <v>88</v>
      </c>
      <c r="S122" s="8"/>
      <c r="T122" s="8" t="s">
        <v>151</v>
      </c>
    </row>
    <row r="123" customFormat="false" ht="15" hidden="false" customHeight="false" outlineLevel="0" collapsed="false">
      <c r="A123" s="7" t="s">
        <v>317</v>
      </c>
      <c r="B123" s="8" t="s">
        <v>124</v>
      </c>
      <c r="C123" s="8" t="n">
        <v>95</v>
      </c>
      <c r="D123" s="8" t="s">
        <v>46</v>
      </c>
      <c r="E123" s="9" t="n">
        <v>45624</v>
      </c>
      <c r="F123" s="8" t="n">
        <f aca="true">IF(E123="","",ROUND((TODAY()-E123)/7,1))</f>
        <v>80.4</v>
      </c>
      <c r="G123" s="8" t="s">
        <v>38</v>
      </c>
      <c r="H123" s="8"/>
      <c r="I123" s="8" t="s">
        <v>315</v>
      </c>
      <c r="J123" s="8" t="s">
        <v>316</v>
      </c>
      <c r="K123" s="8" t="n">
        <v>3</v>
      </c>
      <c r="L123" s="10" t="s">
        <v>62</v>
      </c>
      <c r="M123" s="10" t="s">
        <v>62</v>
      </c>
      <c r="N123" s="10"/>
      <c r="O123" s="10"/>
      <c r="P123" s="8" t="str">
        <f aca="false">MID(IF(L123="","","; APP:"&amp;L123)&amp;IF(M123="","","; PS1:"&amp;M123)&amp;IF(N123="","","; AQP4:"&amp;N123)&amp;IF(O123="","","; CAG-EGFP:"&amp;O123),3,200)</f>
        <v>APP:-/-; PS1:-/-</v>
      </c>
      <c r="Q123" s="8" t="s">
        <v>47</v>
      </c>
      <c r="R123" s="8" t="s">
        <v>88</v>
      </c>
      <c r="S123" s="8"/>
      <c r="T123" s="8" t="s">
        <v>151</v>
      </c>
    </row>
    <row r="124" customFormat="false" ht="15" hidden="false" customHeight="false" outlineLevel="0" collapsed="false">
      <c r="A124" s="7" t="s">
        <v>318</v>
      </c>
      <c r="B124" s="8" t="s">
        <v>124</v>
      </c>
      <c r="C124" s="8" t="n">
        <v>96</v>
      </c>
      <c r="D124" s="8" t="s">
        <v>46</v>
      </c>
      <c r="E124" s="9" t="n">
        <v>45624</v>
      </c>
      <c r="F124" s="8" t="n">
        <f aca="true">IF(E124="","",ROUND((TODAY()-E124)/7,1))</f>
        <v>80.4</v>
      </c>
      <c r="G124" s="8" t="s">
        <v>38</v>
      </c>
      <c r="H124" s="8"/>
      <c r="I124" s="8" t="s">
        <v>315</v>
      </c>
      <c r="J124" s="8" t="s">
        <v>316</v>
      </c>
      <c r="K124" s="8" t="n">
        <v>3</v>
      </c>
      <c r="L124" s="10" t="s">
        <v>62</v>
      </c>
      <c r="M124" s="10" t="s">
        <v>62</v>
      </c>
      <c r="N124" s="10"/>
      <c r="O124" s="10"/>
      <c r="P124" s="8" t="str">
        <f aca="false">MID(IF(L124="","","; APP:"&amp;L124)&amp;IF(M124="","","; PS1:"&amp;M124)&amp;IF(N124="","","; AQP4:"&amp;N124)&amp;IF(O124="","","; CAG-EGFP:"&amp;O124),3,200)</f>
        <v>APP:-/-; PS1:-/-</v>
      </c>
      <c r="Q124" s="8" t="s">
        <v>47</v>
      </c>
      <c r="R124" s="8" t="s">
        <v>88</v>
      </c>
      <c r="S124" s="8"/>
      <c r="T124" s="8" t="s">
        <v>156</v>
      </c>
    </row>
    <row r="125" customFormat="false" ht="15" hidden="false" customHeight="false" outlineLevel="0" collapsed="false">
      <c r="A125" s="7" t="s">
        <v>319</v>
      </c>
      <c r="B125" s="8" t="s">
        <v>124</v>
      </c>
      <c r="C125" s="8" t="n">
        <v>97</v>
      </c>
      <c r="D125" s="8" t="s">
        <v>46</v>
      </c>
      <c r="E125" s="9" t="n">
        <v>45624</v>
      </c>
      <c r="F125" s="8" t="n">
        <f aca="true">IF(E125="","",ROUND((TODAY()-E125)/7,1))</f>
        <v>80.4</v>
      </c>
      <c r="G125" s="8" t="s">
        <v>38</v>
      </c>
      <c r="H125" s="8"/>
      <c r="I125" s="8" t="s">
        <v>315</v>
      </c>
      <c r="J125" s="8" t="s">
        <v>316</v>
      </c>
      <c r="K125" s="8" t="n">
        <v>3</v>
      </c>
      <c r="L125" s="10" t="s">
        <v>62</v>
      </c>
      <c r="M125" s="10" t="s">
        <v>62</v>
      </c>
      <c r="N125" s="10"/>
      <c r="O125" s="10"/>
      <c r="P125" s="8" t="str">
        <f aca="false">MID(IF(L125="","","; APP:"&amp;L125)&amp;IF(M125="","","; PS1:"&amp;M125)&amp;IF(N125="","","; AQP4:"&amp;N125)&amp;IF(O125="","","; CAG-EGFP:"&amp;O125),3,200)</f>
        <v>APP:-/-; PS1:-/-</v>
      </c>
      <c r="Q125" s="8" t="s">
        <v>47</v>
      </c>
      <c r="R125" s="8" t="s">
        <v>88</v>
      </c>
      <c r="S125" s="8"/>
      <c r="T125" s="8" t="s">
        <v>156</v>
      </c>
    </row>
    <row r="126" customFormat="false" ht="15" hidden="false" customHeight="false" outlineLevel="0" collapsed="false">
      <c r="A126" s="7" t="s">
        <v>320</v>
      </c>
      <c r="B126" s="8" t="s">
        <v>124</v>
      </c>
      <c r="C126" s="8" t="n">
        <v>98</v>
      </c>
      <c r="D126" s="8" t="s">
        <v>46</v>
      </c>
      <c r="E126" s="9" t="n">
        <v>45624</v>
      </c>
      <c r="F126" s="8" t="n">
        <f aca="true">IF(E126="","",ROUND((TODAY()-E126)/7,1))</f>
        <v>80.4</v>
      </c>
      <c r="G126" s="8" t="s">
        <v>38</v>
      </c>
      <c r="H126" s="8"/>
      <c r="I126" s="8" t="s">
        <v>315</v>
      </c>
      <c r="J126" s="8" t="s">
        <v>316</v>
      </c>
      <c r="K126" s="8" t="n">
        <v>3</v>
      </c>
      <c r="L126" s="10" t="s">
        <v>48</v>
      </c>
      <c r="M126" s="10" t="s">
        <v>48</v>
      </c>
      <c r="N126" s="10"/>
      <c r="O126" s="10"/>
      <c r="P126" s="8" t="str">
        <f aca="false">MID(IF(L126="","","; APP:"&amp;L126)&amp;IF(M126="","","; PS1:"&amp;M126)&amp;IF(N126="","","; AQP4:"&amp;N126)&amp;IF(O126="","","; CAG-EGFP:"&amp;O126),3,200)</f>
        <v>APP:+/-; PS1:+/-</v>
      </c>
      <c r="Q126" s="8" t="s">
        <v>47</v>
      </c>
      <c r="R126" s="8" t="s">
        <v>88</v>
      </c>
      <c r="S126" s="8"/>
      <c r="T126" s="8" t="s">
        <v>156</v>
      </c>
    </row>
    <row r="127" customFormat="false" ht="15" hidden="false" customHeight="false" outlineLevel="0" collapsed="false">
      <c r="A127" s="7" t="s">
        <v>321</v>
      </c>
      <c r="B127" s="8" t="s">
        <v>124</v>
      </c>
      <c r="C127" s="8" t="n">
        <v>99</v>
      </c>
      <c r="D127" s="8" t="s">
        <v>46</v>
      </c>
      <c r="E127" s="9" t="n">
        <v>45624</v>
      </c>
      <c r="F127" s="8" t="n">
        <f aca="true">IF(E127="","",ROUND((TODAY()-E127)/7,1))</f>
        <v>80.4</v>
      </c>
      <c r="G127" s="8" t="s">
        <v>38</v>
      </c>
      <c r="H127" s="8"/>
      <c r="I127" s="8" t="s">
        <v>315</v>
      </c>
      <c r="J127" s="8" t="s">
        <v>316</v>
      </c>
      <c r="K127" s="8" t="n">
        <v>3</v>
      </c>
      <c r="L127" s="10" t="s">
        <v>48</v>
      </c>
      <c r="M127" s="10" t="s">
        <v>48</v>
      </c>
      <c r="N127" s="10"/>
      <c r="O127" s="10"/>
      <c r="P127" s="8" t="str">
        <f aca="false">MID(IF(L127="","","; APP:"&amp;L127)&amp;IF(M127="","","; PS1:"&amp;M127)&amp;IF(N127="","","; AQP4:"&amp;N127)&amp;IF(O127="","","; CAG-EGFP:"&amp;O127),3,200)</f>
        <v>APP:+/-; PS1:+/-</v>
      </c>
      <c r="Q127" s="8" t="s">
        <v>47</v>
      </c>
      <c r="R127" s="8" t="s">
        <v>88</v>
      </c>
      <c r="S127" s="8"/>
      <c r="T127" s="8" t="s">
        <v>156</v>
      </c>
    </row>
    <row r="128" customFormat="false" ht="15" hidden="false" customHeight="false" outlineLevel="0" collapsed="false">
      <c r="A128" s="7" t="s">
        <v>322</v>
      </c>
      <c r="B128" s="8" t="s">
        <v>124</v>
      </c>
      <c r="C128" s="8" t="n">
        <v>100</v>
      </c>
      <c r="D128" s="8" t="s">
        <v>33</v>
      </c>
      <c r="E128" s="9" t="n">
        <v>45624</v>
      </c>
      <c r="F128" s="8" t="n">
        <f aca="true">IF(E128="","",ROUND((TODAY()-E128)/7,1))</f>
        <v>80.4</v>
      </c>
      <c r="G128" s="8" t="s">
        <v>38</v>
      </c>
      <c r="H128" s="8"/>
      <c r="I128" s="8" t="s">
        <v>315</v>
      </c>
      <c r="J128" s="8" t="s">
        <v>316</v>
      </c>
      <c r="K128" s="8" t="n">
        <v>3</v>
      </c>
      <c r="L128" s="10" t="s">
        <v>48</v>
      </c>
      <c r="M128" s="10" t="s">
        <v>48</v>
      </c>
      <c r="N128" s="10"/>
      <c r="O128" s="10"/>
      <c r="P128" s="8" t="str">
        <f aca="false">MID(IF(L128="","","; APP:"&amp;L128)&amp;IF(M128="","","; PS1:"&amp;M128)&amp;IF(N128="","","; AQP4:"&amp;N128)&amp;IF(O128="","","; CAG-EGFP:"&amp;O128),3,200)</f>
        <v>APP:+/-; PS1:+/-</v>
      </c>
      <c r="Q128" s="8" t="s">
        <v>47</v>
      </c>
      <c r="R128" s="8" t="s">
        <v>88</v>
      </c>
      <c r="S128" s="8"/>
      <c r="T128" s="8" t="s">
        <v>151</v>
      </c>
    </row>
    <row r="129" customFormat="false" ht="15" hidden="false" customHeight="false" outlineLevel="0" collapsed="false">
      <c r="A129" s="7" t="s">
        <v>323</v>
      </c>
      <c r="B129" s="8" t="s">
        <v>124</v>
      </c>
      <c r="C129" s="8" t="n">
        <v>101</v>
      </c>
      <c r="D129" s="8" t="s">
        <v>33</v>
      </c>
      <c r="E129" s="9" t="n">
        <v>45624</v>
      </c>
      <c r="F129" s="8" t="n">
        <f aca="true">IF(E129="","",ROUND((TODAY()-E129)/7,1))</f>
        <v>80.4</v>
      </c>
      <c r="G129" s="8" t="s">
        <v>38</v>
      </c>
      <c r="H129" s="8"/>
      <c r="I129" s="8" t="s">
        <v>315</v>
      </c>
      <c r="J129" s="8" t="s">
        <v>316</v>
      </c>
      <c r="K129" s="8" t="n">
        <v>3</v>
      </c>
      <c r="L129" s="10" t="s">
        <v>48</v>
      </c>
      <c r="M129" s="10" t="s">
        <v>48</v>
      </c>
      <c r="N129" s="10"/>
      <c r="O129" s="10"/>
      <c r="P129" s="8" t="str">
        <f aca="false">MID(IF(L129="","","; APP:"&amp;L129)&amp;IF(M129="","","; PS1:"&amp;M129)&amp;IF(N129="","","; AQP4:"&amp;N129)&amp;IF(O129="","","; CAG-EGFP:"&amp;O129),3,200)</f>
        <v>APP:+/-; PS1:+/-</v>
      </c>
      <c r="Q129" s="8" t="s">
        <v>47</v>
      </c>
      <c r="R129" s="8" t="s">
        <v>88</v>
      </c>
      <c r="S129" s="8"/>
      <c r="T129" s="8" t="s">
        <v>151</v>
      </c>
    </row>
    <row r="130" customFormat="false" ht="15" hidden="false" customHeight="false" outlineLevel="0" collapsed="false">
      <c r="A130" s="7" t="s">
        <v>324</v>
      </c>
      <c r="B130" s="8" t="s">
        <v>124</v>
      </c>
      <c r="C130" s="8" t="n">
        <v>102</v>
      </c>
      <c r="D130" s="8" t="s">
        <v>33</v>
      </c>
      <c r="E130" s="9" t="n">
        <v>45770</v>
      </c>
      <c r="F130" s="8" t="n">
        <f aca="true">IF(E130="","",ROUND((TODAY()-E130)/7,1))</f>
        <v>59.6</v>
      </c>
      <c r="G130" s="8" t="s">
        <v>38</v>
      </c>
      <c r="H130" s="8"/>
      <c r="I130" s="8" t="s">
        <v>325</v>
      </c>
      <c r="J130" s="8" t="s">
        <v>326</v>
      </c>
      <c r="K130" s="8" t="n">
        <v>4</v>
      </c>
      <c r="L130" s="10" t="s">
        <v>48</v>
      </c>
      <c r="M130" s="10" t="s">
        <v>48</v>
      </c>
      <c r="N130" s="10"/>
      <c r="O130" s="10"/>
      <c r="P130" s="8" t="str">
        <f aca="false">MID(IF(L130="","","; APP:"&amp;L130)&amp;IF(M130="","","; PS1:"&amp;M130)&amp;IF(N130="","","; AQP4:"&amp;N130)&amp;IF(O130="","","; CAG-EGFP:"&amp;O130),3,200)</f>
        <v>APP:+/-; PS1:+/-</v>
      </c>
      <c r="Q130" s="8" t="s">
        <v>47</v>
      </c>
      <c r="R130" s="8" t="s">
        <v>14</v>
      </c>
      <c r="S130" s="8"/>
      <c r="T130" s="8" t="s">
        <v>151</v>
      </c>
    </row>
    <row r="131" customFormat="false" ht="15" hidden="false" customHeight="false" outlineLevel="0" collapsed="false">
      <c r="A131" s="7" t="s">
        <v>327</v>
      </c>
      <c r="B131" s="8" t="s">
        <v>124</v>
      </c>
      <c r="C131" s="8" t="n">
        <v>103</v>
      </c>
      <c r="D131" s="8" t="s">
        <v>33</v>
      </c>
      <c r="E131" s="9" t="n">
        <v>45770</v>
      </c>
      <c r="F131" s="8" t="n">
        <f aca="true">IF(E131="","",ROUND((TODAY()-E131)/7,1))</f>
        <v>59.6</v>
      </c>
      <c r="G131" s="8" t="s">
        <v>38</v>
      </c>
      <c r="H131" s="8"/>
      <c r="I131" s="8" t="s">
        <v>325</v>
      </c>
      <c r="J131" s="8" t="s">
        <v>326</v>
      </c>
      <c r="K131" s="8" t="n">
        <v>4</v>
      </c>
      <c r="L131" s="10" t="s">
        <v>48</v>
      </c>
      <c r="M131" s="10" t="s">
        <v>48</v>
      </c>
      <c r="N131" s="10"/>
      <c r="O131" s="10"/>
      <c r="P131" s="8" t="str">
        <f aca="false">MID(IF(L131="","","; APP:"&amp;L131)&amp;IF(M131="","","; PS1:"&amp;M131)&amp;IF(N131="","","; AQP4:"&amp;N131)&amp;IF(O131="","","; CAG-EGFP:"&amp;O131),3,200)</f>
        <v>APP:+/-; PS1:+/-</v>
      </c>
      <c r="Q131" s="8" t="s">
        <v>47</v>
      </c>
      <c r="R131" s="8" t="s">
        <v>88</v>
      </c>
      <c r="S131" s="8"/>
      <c r="T131" s="8" t="s">
        <v>151</v>
      </c>
    </row>
    <row r="132" customFormat="false" ht="15" hidden="false" customHeight="false" outlineLevel="0" collapsed="false">
      <c r="A132" s="7" t="s">
        <v>328</v>
      </c>
      <c r="B132" s="8" t="s">
        <v>124</v>
      </c>
      <c r="C132" s="8" t="n">
        <v>104</v>
      </c>
      <c r="D132" s="8" t="s">
        <v>33</v>
      </c>
      <c r="E132" s="9" t="n">
        <v>45770</v>
      </c>
      <c r="F132" s="8" t="n">
        <f aca="true">IF(E132="","",ROUND((TODAY()-E132)/7,1))</f>
        <v>59.6</v>
      </c>
      <c r="G132" s="8" t="s">
        <v>38</v>
      </c>
      <c r="H132" s="8"/>
      <c r="I132" s="8" t="s">
        <v>325</v>
      </c>
      <c r="J132" s="8" t="s">
        <v>326</v>
      </c>
      <c r="K132" s="8" t="n">
        <v>4</v>
      </c>
      <c r="L132" s="10" t="s">
        <v>62</v>
      </c>
      <c r="M132" s="10" t="s">
        <v>62</v>
      </c>
      <c r="N132" s="10"/>
      <c r="O132" s="10"/>
      <c r="P132" s="8" t="str">
        <f aca="false">MID(IF(L132="","","; APP:"&amp;L132)&amp;IF(M132="","","; PS1:"&amp;M132)&amp;IF(N132="","","; AQP4:"&amp;N132)&amp;IF(O132="","","; CAG-EGFP:"&amp;O132),3,200)</f>
        <v>APP:-/-; PS1:-/-</v>
      </c>
      <c r="Q132" s="8" t="s">
        <v>47</v>
      </c>
      <c r="R132" s="8" t="s">
        <v>14</v>
      </c>
      <c r="S132" s="8"/>
      <c r="T132" s="8" t="s">
        <v>151</v>
      </c>
    </row>
    <row r="133" customFormat="false" ht="15" hidden="false" customHeight="false" outlineLevel="0" collapsed="false">
      <c r="A133" s="7" t="s">
        <v>329</v>
      </c>
      <c r="B133" s="8" t="s">
        <v>124</v>
      </c>
      <c r="C133" s="8" t="n">
        <v>105</v>
      </c>
      <c r="D133" s="8" t="s">
        <v>46</v>
      </c>
      <c r="E133" s="9" t="n">
        <v>45770</v>
      </c>
      <c r="F133" s="8" t="n">
        <f aca="true">IF(E133="","",ROUND((TODAY()-E133)/7,1))</f>
        <v>59.6</v>
      </c>
      <c r="G133" s="8" t="s">
        <v>38</v>
      </c>
      <c r="H133" s="8"/>
      <c r="I133" s="8" t="s">
        <v>325</v>
      </c>
      <c r="J133" s="8" t="s">
        <v>326</v>
      </c>
      <c r="K133" s="8" t="n">
        <v>4</v>
      </c>
      <c r="L133" s="10" t="s">
        <v>48</v>
      </c>
      <c r="M133" s="10" t="s">
        <v>48</v>
      </c>
      <c r="N133" s="10"/>
      <c r="O133" s="10"/>
      <c r="P133" s="8" t="str">
        <f aca="false">MID(IF(L133="","","; APP:"&amp;L133)&amp;IF(M133="","","; PS1:"&amp;M133)&amp;IF(N133="","","; AQP4:"&amp;N133)&amp;IF(O133="","","; CAG-EGFP:"&amp;O133),3,200)</f>
        <v>APP:+/-; PS1:+/-</v>
      </c>
      <c r="Q133" s="8" t="s">
        <v>47</v>
      </c>
      <c r="R133" s="8" t="s">
        <v>14</v>
      </c>
      <c r="S133" s="8"/>
      <c r="T133" s="8" t="s">
        <v>151</v>
      </c>
    </row>
    <row r="134" customFormat="false" ht="15" hidden="false" customHeight="false" outlineLevel="0" collapsed="false">
      <c r="A134" s="7" t="s">
        <v>330</v>
      </c>
      <c r="B134" s="8" t="s">
        <v>124</v>
      </c>
      <c r="C134" s="8" t="n">
        <v>106</v>
      </c>
      <c r="D134" s="8" t="s">
        <v>46</v>
      </c>
      <c r="E134" s="9" t="n">
        <v>45770</v>
      </c>
      <c r="F134" s="8" t="n">
        <f aca="true">IF(E134="","",ROUND((TODAY()-E134)/7,1))</f>
        <v>59.6</v>
      </c>
      <c r="G134" s="8" t="s">
        <v>38</v>
      </c>
      <c r="H134" s="8"/>
      <c r="I134" s="8" t="s">
        <v>325</v>
      </c>
      <c r="J134" s="8" t="s">
        <v>326</v>
      </c>
      <c r="K134" s="8" t="n">
        <v>4</v>
      </c>
      <c r="L134" s="10" t="s">
        <v>62</v>
      </c>
      <c r="M134" s="10" t="s">
        <v>62</v>
      </c>
      <c r="N134" s="10"/>
      <c r="O134" s="10"/>
      <c r="P134" s="8" t="str">
        <f aca="false">MID(IF(L134="","","; APP:"&amp;L134)&amp;IF(M134="","","; PS1:"&amp;M134)&amp;IF(N134="","","; AQP4:"&amp;N134)&amp;IF(O134="","","; CAG-EGFP:"&amp;O134),3,200)</f>
        <v>APP:-/-; PS1:-/-</v>
      </c>
      <c r="Q134" s="8" t="s">
        <v>47</v>
      </c>
      <c r="R134" s="8" t="s">
        <v>14</v>
      </c>
      <c r="S134" s="8"/>
      <c r="T134" s="8" t="s">
        <v>156</v>
      </c>
    </row>
    <row r="135" customFormat="false" ht="15" hidden="false" customHeight="false" outlineLevel="0" collapsed="false">
      <c r="A135" s="7" t="s">
        <v>331</v>
      </c>
      <c r="B135" s="8" t="s">
        <v>124</v>
      </c>
      <c r="C135" s="8" t="n">
        <v>107</v>
      </c>
      <c r="D135" s="8" t="s">
        <v>46</v>
      </c>
      <c r="E135" s="9" t="n">
        <v>45770</v>
      </c>
      <c r="F135" s="8" t="n">
        <f aca="true">IF(E135="","",ROUND((TODAY()-E135)/7,1))</f>
        <v>59.6</v>
      </c>
      <c r="G135" s="8" t="s">
        <v>38</v>
      </c>
      <c r="H135" s="8"/>
      <c r="I135" s="8" t="s">
        <v>325</v>
      </c>
      <c r="J135" s="8" t="s">
        <v>326</v>
      </c>
      <c r="K135" s="8" t="n">
        <v>4</v>
      </c>
      <c r="L135" s="10" t="s">
        <v>48</v>
      </c>
      <c r="M135" s="10" t="s">
        <v>48</v>
      </c>
      <c r="N135" s="10"/>
      <c r="O135" s="10"/>
      <c r="P135" s="8" t="str">
        <f aca="false">MID(IF(L135="","","; APP:"&amp;L135)&amp;IF(M135="","","; PS1:"&amp;M135)&amp;IF(N135="","","; AQP4:"&amp;N135)&amp;IF(O135="","","; CAG-EGFP:"&amp;O135),3,200)</f>
        <v>APP:+/-; PS1:+/-</v>
      </c>
      <c r="Q135" s="8" t="s">
        <v>47</v>
      </c>
      <c r="R135" s="8" t="s">
        <v>14</v>
      </c>
      <c r="S135" s="8"/>
      <c r="T135" s="8" t="s">
        <v>156</v>
      </c>
    </row>
    <row r="136" customFormat="false" ht="15" hidden="false" customHeight="false" outlineLevel="0" collapsed="false">
      <c r="A136" s="7" t="s">
        <v>332</v>
      </c>
      <c r="B136" s="8" t="s">
        <v>124</v>
      </c>
      <c r="C136" s="8" t="n">
        <v>108</v>
      </c>
      <c r="D136" s="8" t="s">
        <v>33</v>
      </c>
      <c r="E136" s="9" t="n">
        <v>45770</v>
      </c>
      <c r="F136" s="8" t="n">
        <f aca="true">IF(E136="","",ROUND((TODAY()-E136)/7,1))</f>
        <v>59.6</v>
      </c>
      <c r="G136" s="8" t="s">
        <v>38</v>
      </c>
      <c r="H136" s="8"/>
      <c r="I136" s="8" t="s">
        <v>325</v>
      </c>
      <c r="J136" s="8" t="s">
        <v>150</v>
      </c>
      <c r="K136" s="8" t="n">
        <v>4</v>
      </c>
      <c r="L136" s="10" t="s">
        <v>48</v>
      </c>
      <c r="M136" s="10" t="s">
        <v>48</v>
      </c>
      <c r="N136" s="10"/>
      <c r="O136" s="10"/>
      <c r="P136" s="8" t="str">
        <f aca="false">MID(IF(L136="","","; APP:"&amp;L136)&amp;IF(M136="","","; PS1:"&amp;M136)&amp;IF(N136="","","; AQP4:"&amp;N136)&amp;IF(O136="","","; CAG-EGFP:"&amp;O136),3,200)</f>
        <v>APP:+/-; PS1:+/-</v>
      </c>
      <c r="Q136" s="8" t="s">
        <v>47</v>
      </c>
      <c r="R136" s="8" t="s">
        <v>14</v>
      </c>
      <c r="S136" s="8"/>
      <c r="T136" s="8" t="s">
        <v>151</v>
      </c>
    </row>
    <row r="137" customFormat="false" ht="15" hidden="false" customHeight="false" outlineLevel="0" collapsed="false">
      <c r="A137" s="7" t="s">
        <v>333</v>
      </c>
      <c r="B137" s="8" t="s">
        <v>124</v>
      </c>
      <c r="C137" s="8" t="n">
        <v>109</v>
      </c>
      <c r="D137" s="8" t="s">
        <v>33</v>
      </c>
      <c r="E137" s="9" t="n">
        <v>45770</v>
      </c>
      <c r="F137" s="8" t="n">
        <f aca="true">IF(E137="","",ROUND((TODAY()-E137)/7,1))</f>
        <v>59.6</v>
      </c>
      <c r="G137" s="8" t="s">
        <v>38</v>
      </c>
      <c r="H137" s="8"/>
      <c r="I137" s="8" t="s">
        <v>325</v>
      </c>
      <c r="J137" s="8" t="s">
        <v>150</v>
      </c>
      <c r="K137" s="8" t="n">
        <v>4</v>
      </c>
      <c r="L137" s="10" t="s">
        <v>48</v>
      </c>
      <c r="M137" s="10" t="s">
        <v>48</v>
      </c>
      <c r="N137" s="10"/>
      <c r="O137" s="10"/>
      <c r="P137" s="8" t="str">
        <f aca="false">MID(IF(L137="","","; APP:"&amp;L137)&amp;IF(M137="","","; PS1:"&amp;M137)&amp;IF(N137="","","; AQP4:"&amp;N137)&amp;IF(O137="","","; CAG-EGFP:"&amp;O137),3,200)</f>
        <v>APP:+/-; PS1:+/-</v>
      </c>
      <c r="Q137" s="8" t="s">
        <v>47</v>
      </c>
      <c r="R137" s="8" t="s">
        <v>14</v>
      </c>
      <c r="S137" s="8"/>
      <c r="T137" s="8" t="s">
        <v>151</v>
      </c>
    </row>
    <row r="138" customFormat="false" ht="15" hidden="false" customHeight="false" outlineLevel="0" collapsed="false">
      <c r="A138" s="7" t="s">
        <v>334</v>
      </c>
      <c r="B138" s="8" t="s">
        <v>124</v>
      </c>
      <c r="C138" s="8" t="n">
        <v>110</v>
      </c>
      <c r="D138" s="8" t="s">
        <v>33</v>
      </c>
      <c r="E138" s="9" t="n">
        <v>45770</v>
      </c>
      <c r="F138" s="8" t="n">
        <f aca="true">IF(E138="","",ROUND((TODAY()-E138)/7,1))</f>
        <v>59.6</v>
      </c>
      <c r="G138" s="8" t="s">
        <v>38</v>
      </c>
      <c r="H138" s="8"/>
      <c r="I138" s="8" t="s">
        <v>325</v>
      </c>
      <c r="J138" s="8" t="s">
        <v>150</v>
      </c>
      <c r="K138" s="8" t="n">
        <v>4</v>
      </c>
      <c r="L138" s="10" t="s">
        <v>48</v>
      </c>
      <c r="M138" s="10" t="s">
        <v>48</v>
      </c>
      <c r="N138" s="10"/>
      <c r="O138" s="10"/>
      <c r="P138" s="8" t="str">
        <f aca="false">MID(IF(L138="","","; APP:"&amp;L138)&amp;IF(M138="","","; PS1:"&amp;M138)&amp;IF(N138="","","; AQP4:"&amp;N138)&amp;IF(O138="","","; CAG-EGFP:"&amp;O138),3,200)</f>
        <v>APP:+/-; PS1:+/-</v>
      </c>
      <c r="Q138" s="8" t="s">
        <v>47</v>
      </c>
      <c r="R138" s="8" t="s">
        <v>14</v>
      </c>
      <c r="S138" s="8"/>
      <c r="T138" s="8" t="s">
        <v>151</v>
      </c>
    </row>
    <row r="139" customFormat="false" ht="15" hidden="false" customHeight="false" outlineLevel="0" collapsed="false">
      <c r="A139" s="7" t="s">
        <v>335</v>
      </c>
      <c r="B139" s="8" t="s">
        <v>124</v>
      </c>
      <c r="C139" s="8" t="n">
        <v>111</v>
      </c>
      <c r="D139" s="8" t="s">
        <v>46</v>
      </c>
      <c r="E139" s="9" t="n">
        <v>45770</v>
      </c>
      <c r="F139" s="8" t="n">
        <f aca="true">IF(E139="","",ROUND((TODAY()-E139)/7,1))</f>
        <v>59.6</v>
      </c>
      <c r="G139" s="8" t="s">
        <v>38</v>
      </c>
      <c r="H139" s="8"/>
      <c r="I139" s="8" t="s">
        <v>325</v>
      </c>
      <c r="J139" s="8" t="s">
        <v>150</v>
      </c>
      <c r="K139" s="8" t="n">
        <v>4</v>
      </c>
      <c r="L139" s="10" t="s">
        <v>62</v>
      </c>
      <c r="M139" s="10" t="s">
        <v>62</v>
      </c>
      <c r="N139" s="10"/>
      <c r="O139" s="10"/>
      <c r="P139" s="8" t="str">
        <f aca="false">MID(IF(L139="","","; APP:"&amp;L139)&amp;IF(M139="","","; PS1:"&amp;M139)&amp;IF(N139="","","; AQP4:"&amp;N139)&amp;IF(O139="","","; CAG-EGFP:"&amp;O139),3,200)</f>
        <v>APP:-/-; PS1:-/-</v>
      </c>
      <c r="Q139" s="8" t="s">
        <v>47</v>
      </c>
      <c r="R139" s="8" t="s">
        <v>14</v>
      </c>
      <c r="S139" s="8"/>
      <c r="T139" s="8" t="s">
        <v>151</v>
      </c>
    </row>
    <row r="140" customFormat="false" ht="17.15" hidden="false" customHeight="false" outlineLevel="0" collapsed="false">
      <c r="A140" s="7" t="s">
        <v>336</v>
      </c>
      <c r="B140" s="8" t="s">
        <v>129</v>
      </c>
      <c r="C140" s="8" t="n">
        <v>1</v>
      </c>
      <c r="D140" s="8" t="s">
        <v>33</v>
      </c>
      <c r="E140" s="9" t="n">
        <v>45033</v>
      </c>
      <c r="F140" s="8" t="n">
        <f aca="true">IF(E140="","",ROUND((TODAY()-E140)/7,1))</f>
        <v>164.9</v>
      </c>
      <c r="G140" s="8" t="s">
        <v>38</v>
      </c>
      <c r="H140" s="8"/>
      <c r="I140" s="8" t="s">
        <v>337</v>
      </c>
      <c r="J140" s="8" t="s">
        <v>338</v>
      </c>
      <c r="K140" s="8" t="n">
        <v>1</v>
      </c>
      <c r="L140" s="10" t="s">
        <v>48</v>
      </c>
      <c r="M140" s="10" t="s">
        <v>48</v>
      </c>
      <c r="N140" s="10" t="s">
        <v>83</v>
      </c>
      <c r="O140" s="10"/>
      <c r="P140" s="8" t="str">
        <f aca="false">MID(IF(L140="","","; APP:"&amp;L140)&amp;IF(M140="","","; PS1:"&amp;M140)&amp;IF(N140="","","; AQP4:"&amp;N140)&amp;IF(O140="","","; CAG-EGFP:"&amp;O140),3,200)</f>
        <v>APP:+/-; PS1:+/-; AQP4:-</v>
      </c>
      <c r="Q140" s="8" t="s">
        <v>47</v>
      </c>
      <c r="R140" s="8" t="s">
        <v>88</v>
      </c>
      <c r="S140" s="8"/>
      <c r="T140" s="11" t="s">
        <v>339</v>
      </c>
    </row>
    <row r="141" customFormat="false" ht="15" hidden="false" customHeight="false" outlineLevel="0" collapsed="false">
      <c r="A141" s="7" t="s">
        <v>340</v>
      </c>
      <c r="B141" s="8" t="s">
        <v>129</v>
      </c>
      <c r="C141" s="8" t="n">
        <v>2</v>
      </c>
      <c r="D141" s="8" t="s">
        <v>33</v>
      </c>
      <c r="E141" s="9" t="n">
        <v>45266</v>
      </c>
      <c r="F141" s="8" t="n">
        <f aca="true">IF(E141="","",ROUND((TODAY()-E141)/7,1))</f>
        <v>131.6</v>
      </c>
      <c r="G141" s="8" t="s">
        <v>38</v>
      </c>
      <c r="H141" s="8"/>
      <c r="I141" s="8" t="s">
        <v>341</v>
      </c>
      <c r="J141" s="8" t="s">
        <v>342</v>
      </c>
      <c r="K141" s="8" t="n">
        <v>2</v>
      </c>
      <c r="L141" s="10" t="s">
        <v>62</v>
      </c>
      <c r="M141" s="10" t="s">
        <v>62</v>
      </c>
      <c r="N141" s="10" t="s">
        <v>83</v>
      </c>
      <c r="O141" s="10"/>
      <c r="P141" s="8" t="str">
        <f aca="false">MID(IF(L141="","","; APP:"&amp;L141)&amp;IF(M141="","","; PS1:"&amp;M141)&amp;IF(N141="","","; AQP4:"&amp;N141)&amp;IF(O141="","","; CAG-EGFP:"&amp;O141),3,200)</f>
        <v>APP:-/-; PS1:-/-; AQP4:-</v>
      </c>
      <c r="Q141" s="8" t="s">
        <v>47</v>
      </c>
      <c r="R141" s="8" t="s">
        <v>88</v>
      </c>
      <c r="S141" s="8"/>
      <c r="T141" s="8" t="s">
        <v>151</v>
      </c>
    </row>
    <row r="142" customFormat="false" ht="15" hidden="false" customHeight="false" outlineLevel="0" collapsed="false">
      <c r="A142" s="7" t="s">
        <v>343</v>
      </c>
      <c r="B142" s="8" t="s">
        <v>129</v>
      </c>
      <c r="C142" s="8" t="n">
        <v>3</v>
      </c>
      <c r="D142" s="8" t="s">
        <v>46</v>
      </c>
      <c r="E142" s="9" t="n">
        <v>45266</v>
      </c>
      <c r="F142" s="8" t="n">
        <f aca="true">IF(E142="","",ROUND((TODAY()-E142)/7,1))</f>
        <v>131.6</v>
      </c>
      <c r="G142" s="8" t="s">
        <v>38</v>
      </c>
      <c r="H142" s="8"/>
      <c r="I142" s="8" t="s">
        <v>341</v>
      </c>
      <c r="J142" s="8" t="s">
        <v>342</v>
      </c>
      <c r="K142" s="8" t="n">
        <v>2</v>
      </c>
      <c r="L142" s="10" t="s">
        <v>62</v>
      </c>
      <c r="M142" s="10" t="s">
        <v>62</v>
      </c>
      <c r="N142" s="10" t="s">
        <v>83</v>
      </c>
      <c r="O142" s="10"/>
      <c r="P142" s="8" t="str">
        <f aca="false">MID(IF(L142="","","; APP:"&amp;L142)&amp;IF(M142="","","; PS1:"&amp;M142)&amp;IF(N142="","","; AQP4:"&amp;N142)&amp;IF(O142="","","; CAG-EGFP:"&amp;O142),3,200)</f>
        <v>APP:-/-; PS1:-/-; AQP4:-</v>
      </c>
      <c r="Q142" s="8" t="s">
        <v>47</v>
      </c>
      <c r="R142" s="8" t="s">
        <v>88</v>
      </c>
      <c r="S142" s="8"/>
      <c r="T142" s="8" t="s">
        <v>151</v>
      </c>
    </row>
    <row r="143" customFormat="false" ht="15" hidden="false" customHeight="false" outlineLevel="0" collapsed="false">
      <c r="A143" s="7" t="s">
        <v>344</v>
      </c>
      <c r="B143" s="8" t="s">
        <v>129</v>
      </c>
      <c r="C143" s="8" t="n">
        <v>4</v>
      </c>
      <c r="D143" s="8" t="s">
        <v>46</v>
      </c>
      <c r="E143" s="9" t="n">
        <v>45266</v>
      </c>
      <c r="F143" s="8" t="n">
        <f aca="true">IF(E143="","",ROUND((TODAY()-E143)/7,1))</f>
        <v>131.6</v>
      </c>
      <c r="G143" s="8" t="s">
        <v>38</v>
      </c>
      <c r="H143" s="8"/>
      <c r="I143" s="8" t="s">
        <v>341</v>
      </c>
      <c r="J143" s="8" t="s">
        <v>342</v>
      </c>
      <c r="K143" s="8" t="n">
        <v>2</v>
      </c>
      <c r="L143" s="10" t="s">
        <v>62</v>
      </c>
      <c r="M143" s="10" t="s">
        <v>62</v>
      </c>
      <c r="N143" s="10" t="s">
        <v>83</v>
      </c>
      <c r="O143" s="10"/>
      <c r="P143" s="8" t="str">
        <f aca="false">MID(IF(L143="","","; APP:"&amp;L143)&amp;IF(M143="","","; PS1:"&amp;M143)&amp;IF(N143="","","; AQP4:"&amp;N143)&amp;IF(O143="","","; CAG-EGFP:"&amp;O143),3,200)</f>
        <v>APP:-/-; PS1:-/-; AQP4:-</v>
      </c>
      <c r="Q143" s="8" t="s">
        <v>47</v>
      </c>
      <c r="R143" s="8" t="s">
        <v>88</v>
      </c>
      <c r="S143" s="8"/>
      <c r="T143" s="8" t="s">
        <v>151</v>
      </c>
    </row>
    <row r="144" customFormat="false" ht="15" hidden="false" customHeight="false" outlineLevel="0" collapsed="false">
      <c r="A144" s="7" t="s">
        <v>345</v>
      </c>
      <c r="B144" s="8" t="s">
        <v>129</v>
      </c>
      <c r="C144" s="8" t="n">
        <v>5</v>
      </c>
      <c r="D144" s="8" t="s">
        <v>33</v>
      </c>
      <c r="E144" s="9" t="n">
        <v>45281</v>
      </c>
      <c r="F144" s="8" t="n">
        <f aca="true">IF(E144="","",ROUND((TODAY()-E144)/7,1))</f>
        <v>129.4</v>
      </c>
      <c r="G144" s="8" t="s">
        <v>38</v>
      </c>
      <c r="H144" s="8"/>
      <c r="I144" s="8" t="s">
        <v>341</v>
      </c>
      <c r="J144" s="8" t="s">
        <v>346</v>
      </c>
      <c r="K144" s="8" t="n">
        <v>2</v>
      </c>
      <c r="L144" s="10" t="s">
        <v>62</v>
      </c>
      <c r="M144" s="10" t="s">
        <v>62</v>
      </c>
      <c r="N144" s="10" t="s">
        <v>83</v>
      </c>
      <c r="O144" s="10"/>
      <c r="P144" s="8" t="str">
        <f aca="false">MID(IF(L144="","","; APP:"&amp;L144)&amp;IF(M144="","","; PS1:"&amp;M144)&amp;IF(N144="","","; AQP4:"&amp;N144)&amp;IF(O144="","","; CAG-EGFP:"&amp;O144),3,200)</f>
        <v>APP:-/-; PS1:-/-; AQP4:-</v>
      </c>
      <c r="Q144" s="8" t="s">
        <v>47</v>
      </c>
      <c r="R144" s="8" t="s">
        <v>88</v>
      </c>
      <c r="S144" s="8"/>
      <c r="T144" s="8" t="s">
        <v>151</v>
      </c>
    </row>
    <row r="145" customFormat="false" ht="15" hidden="false" customHeight="false" outlineLevel="0" collapsed="false">
      <c r="A145" s="7" t="s">
        <v>347</v>
      </c>
      <c r="B145" s="8" t="s">
        <v>129</v>
      </c>
      <c r="C145" s="8" t="n">
        <v>6</v>
      </c>
      <c r="D145" s="8" t="s">
        <v>33</v>
      </c>
      <c r="E145" s="9" t="n">
        <v>45281</v>
      </c>
      <c r="F145" s="8" t="n">
        <f aca="true">IF(E145="","",ROUND((TODAY()-E145)/7,1))</f>
        <v>129.4</v>
      </c>
      <c r="G145" s="8" t="s">
        <v>38</v>
      </c>
      <c r="H145" s="8"/>
      <c r="I145" s="8" t="s">
        <v>341</v>
      </c>
      <c r="J145" s="8" t="s">
        <v>346</v>
      </c>
      <c r="K145" s="8" t="n">
        <v>2</v>
      </c>
      <c r="L145" s="10" t="s">
        <v>62</v>
      </c>
      <c r="M145" s="10" t="s">
        <v>62</v>
      </c>
      <c r="N145" s="10" t="s">
        <v>83</v>
      </c>
      <c r="O145" s="10"/>
      <c r="P145" s="8" t="str">
        <f aca="false">MID(IF(L145="","","; APP:"&amp;L145)&amp;IF(M145="","","; PS1:"&amp;M145)&amp;IF(N145="","","; AQP4:"&amp;N145)&amp;IF(O145="","","; CAG-EGFP:"&amp;O145),3,200)</f>
        <v>APP:-/-; PS1:-/-; AQP4:-</v>
      </c>
      <c r="Q145" s="8" t="s">
        <v>47</v>
      </c>
      <c r="R145" s="8" t="s">
        <v>88</v>
      </c>
      <c r="S145" s="8"/>
      <c r="T145" s="8" t="s">
        <v>151</v>
      </c>
    </row>
    <row r="146" customFormat="false" ht="15" hidden="false" customHeight="false" outlineLevel="0" collapsed="false">
      <c r="A146" s="7" t="s">
        <v>348</v>
      </c>
      <c r="B146" s="8" t="s">
        <v>129</v>
      </c>
      <c r="C146" s="8" t="n">
        <v>7</v>
      </c>
      <c r="D146" s="8" t="s">
        <v>46</v>
      </c>
      <c r="E146" s="9" t="n">
        <v>45281</v>
      </c>
      <c r="F146" s="8" t="n">
        <f aca="true">IF(E146="","",ROUND((TODAY()-E146)/7,1))</f>
        <v>129.4</v>
      </c>
      <c r="G146" s="8" t="s">
        <v>38</v>
      </c>
      <c r="H146" s="8"/>
      <c r="I146" s="8" t="s">
        <v>341</v>
      </c>
      <c r="J146" s="8" t="s">
        <v>346</v>
      </c>
      <c r="K146" s="8" t="n">
        <v>2</v>
      </c>
      <c r="L146" s="10" t="s">
        <v>48</v>
      </c>
      <c r="M146" s="10" t="s">
        <v>48</v>
      </c>
      <c r="N146" s="10" t="s">
        <v>83</v>
      </c>
      <c r="O146" s="10"/>
      <c r="P146" s="8" t="str">
        <f aca="false">MID(IF(L146="","","; APP:"&amp;L146)&amp;IF(M146="","","; PS1:"&amp;M146)&amp;IF(N146="","","; AQP4:"&amp;N146)&amp;IF(O146="","","; CAG-EGFP:"&amp;O146),3,200)</f>
        <v>APP:+/-; PS1:+/-; AQP4:-</v>
      </c>
      <c r="Q146" s="8" t="s">
        <v>47</v>
      </c>
      <c r="R146" s="8" t="s">
        <v>88</v>
      </c>
      <c r="S146" s="8"/>
      <c r="T146" s="8" t="s">
        <v>349</v>
      </c>
    </row>
    <row r="147" customFormat="false" ht="15" hidden="false" customHeight="false" outlineLevel="0" collapsed="false">
      <c r="A147" s="7" t="s">
        <v>350</v>
      </c>
      <c r="B147" s="8" t="s">
        <v>129</v>
      </c>
      <c r="C147" s="8" t="n">
        <v>8</v>
      </c>
      <c r="D147" s="8" t="s">
        <v>46</v>
      </c>
      <c r="E147" s="9" t="n">
        <v>45281</v>
      </c>
      <c r="F147" s="8" t="n">
        <f aca="true">IF(E147="","",ROUND((TODAY()-E147)/7,1))</f>
        <v>129.4</v>
      </c>
      <c r="G147" s="8" t="s">
        <v>38</v>
      </c>
      <c r="H147" s="8"/>
      <c r="I147" s="8" t="s">
        <v>341</v>
      </c>
      <c r="J147" s="8" t="s">
        <v>346</v>
      </c>
      <c r="K147" s="8" t="n">
        <v>2</v>
      </c>
      <c r="L147" s="10" t="s">
        <v>48</v>
      </c>
      <c r="M147" s="10" t="s">
        <v>48</v>
      </c>
      <c r="N147" s="10" t="s">
        <v>83</v>
      </c>
      <c r="O147" s="10"/>
      <c r="P147" s="8" t="str">
        <f aca="false">MID(IF(L147="","","; APP:"&amp;L147)&amp;IF(M147="","","; PS1:"&amp;M147)&amp;IF(N147="","","; AQP4:"&amp;N147)&amp;IF(O147="","","; CAG-EGFP:"&amp;O147),3,200)</f>
        <v>APP:+/-; PS1:+/-; AQP4:-</v>
      </c>
      <c r="Q147" s="8" t="s">
        <v>47</v>
      </c>
      <c r="R147" s="8" t="s">
        <v>88</v>
      </c>
      <c r="S147" s="8"/>
      <c r="T147" s="8" t="s">
        <v>349</v>
      </c>
    </row>
    <row r="148" customFormat="false" ht="15" hidden="false" customHeight="false" outlineLevel="0" collapsed="false">
      <c r="A148" s="7" t="s">
        <v>351</v>
      </c>
      <c r="B148" s="8" t="s">
        <v>129</v>
      </c>
      <c r="C148" s="8" t="n">
        <v>9</v>
      </c>
      <c r="D148" s="8" t="s">
        <v>33</v>
      </c>
      <c r="E148" s="9" t="n">
        <v>45336</v>
      </c>
      <c r="F148" s="8" t="n">
        <f aca="true">IF(E148="","",ROUND((TODAY()-E148)/7,1))</f>
        <v>121.6</v>
      </c>
      <c r="G148" s="8" t="s">
        <v>38</v>
      </c>
      <c r="H148" s="8"/>
      <c r="I148" s="8" t="s">
        <v>341</v>
      </c>
      <c r="J148" s="8" t="s">
        <v>346</v>
      </c>
      <c r="K148" s="8" t="n">
        <v>2</v>
      </c>
      <c r="L148" s="10" t="s">
        <v>62</v>
      </c>
      <c r="M148" s="10" t="s">
        <v>62</v>
      </c>
      <c r="N148" s="10" t="s">
        <v>83</v>
      </c>
      <c r="O148" s="10"/>
      <c r="P148" s="8" t="str">
        <f aca="false">MID(IF(L148="","","; APP:"&amp;L148)&amp;IF(M148="","","; PS1:"&amp;M148)&amp;IF(N148="","","; AQP4:"&amp;N148)&amp;IF(O148="","","; CAG-EGFP:"&amp;O148),3,200)</f>
        <v>APP:-/-; PS1:-/-; AQP4:-</v>
      </c>
      <c r="Q148" s="8" t="s">
        <v>47</v>
      </c>
      <c r="R148" s="8" t="s">
        <v>88</v>
      </c>
      <c r="S148" s="8"/>
      <c r="T148" s="8" t="s">
        <v>151</v>
      </c>
    </row>
    <row r="149" customFormat="false" ht="17.15" hidden="false" customHeight="false" outlineLevel="0" collapsed="false">
      <c r="A149" s="7" t="s">
        <v>352</v>
      </c>
      <c r="B149" s="8" t="s">
        <v>129</v>
      </c>
      <c r="C149" s="8" t="n">
        <v>10</v>
      </c>
      <c r="D149" s="8" t="s">
        <v>33</v>
      </c>
      <c r="E149" s="9" t="n">
        <v>45336</v>
      </c>
      <c r="F149" s="8" t="n">
        <f aca="true">IF(E149="","",ROUND((TODAY()-E149)/7,1))</f>
        <v>121.6</v>
      </c>
      <c r="G149" s="8" t="s">
        <v>38</v>
      </c>
      <c r="H149" s="8"/>
      <c r="I149" s="8" t="s">
        <v>341</v>
      </c>
      <c r="J149" s="8" t="s">
        <v>346</v>
      </c>
      <c r="K149" s="8" t="n">
        <v>2</v>
      </c>
      <c r="L149" s="10" t="s">
        <v>48</v>
      </c>
      <c r="M149" s="10" t="s">
        <v>48</v>
      </c>
      <c r="N149" s="10" t="s">
        <v>83</v>
      </c>
      <c r="O149" s="10"/>
      <c r="P149" s="8" t="str">
        <f aca="false">MID(IF(L149="","","; APP:"&amp;L149)&amp;IF(M149="","","; PS1:"&amp;M149)&amp;IF(N149="","","; AQP4:"&amp;N149)&amp;IF(O149="","","; CAG-EGFP:"&amp;O149),3,200)</f>
        <v>APP:+/-; PS1:+/-; AQP4:-</v>
      </c>
      <c r="Q149" s="8" t="s">
        <v>47</v>
      </c>
      <c r="R149" s="8" t="s">
        <v>88</v>
      </c>
      <c r="S149" s="8"/>
      <c r="T149" s="8" t="s">
        <v>353</v>
      </c>
    </row>
    <row r="150" customFormat="false" ht="15" hidden="false" customHeight="false" outlineLevel="0" collapsed="false">
      <c r="A150" s="7" t="s">
        <v>354</v>
      </c>
      <c r="B150" s="8" t="s">
        <v>129</v>
      </c>
      <c r="C150" s="8" t="n">
        <v>11</v>
      </c>
      <c r="D150" s="8" t="s">
        <v>33</v>
      </c>
      <c r="E150" s="9" t="n">
        <v>45336</v>
      </c>
      <c r="F150" s="8" t="n">
        <f aca="true">IF(E150="","",ROUND((TODAY()-E150)/7,1))</f>
        <v>121.6</v>
      </c>
      <c r="G150" s="8" t="s">
        <v>38</v>
      </c>
      <c r="H150" s="8"/>
      <c r="I150" s="8" t="s">
        <v>341</v>
      </c>
      <c r="J150" s="8" t="s">
        <v>346</v>
      </c>
      <c r="K150" s="8" t="n">
        <v>2</v>
      </c>
      <c r="L150" s="10" t="s">
        <v>48</v>
      </c>
      <c r="M150" s="10" t="s">
        <v>48</v>
      </c>
      <c r="N150" s="10" t="s">
        <v>83</v>
      </c>
      <c r="O150" s="10"/>
      <c r="P150" s="8" t="str">
        <f aca="false">MID(IF(L150="","","; APP:"&amp;L150)&amp;IF(M150="","","; PS1:"&amp;M150)&amp;IF(N150="","","; AQP4:"&amp;N150)&amp;IF(O150="","","; CAG-EGFP:"&amp;O150),3,200)</f>
        <v>APP:+/-; PS1:+/-; AQP4:-</v>
      </c>
      <c r="Q150" s="8" t="s">
        <v>47</v>
      </c>
      <c r="R150" s="8" t="s">
        <v>88</v>
      </c>
      <c r="S150" s="8"/>
      <c r="T150" s="8" t="s">
        <v>349</v>
      </c>
    </row>
    <row r="151" customFormat="false" ht="15" hidden="false" customHeight="false" outlineLevel="0" collapsed="false">
      <c r="A151" s="7" t="s">
        <v>355</v>
      </c>
      <c r="B151" s="8" t="s">
        <v>129</v>
      </c>
      <c r="C151" s="8" t="n">
        <v>12</v>
      </c>
      <c r="D151" s="8" t="s">
        <v>33</v>
      </c>
      <c r="E151" s="9" t="n">
        <v>45336</v>
      </c>
      <c r="F151" s="8" t="n">
        <f aca="true">IF(E151="","",ROUND((TODAY()-E151)/7,1))</f>
        <v>121.6</v>
      </c>
      <c r="G151" s="8" t="s">
        <v>38</v>
      </c>
      <c r="H151" s="8"/>
      <c r="I151" s="8" t="s">
        <v>341</v>
      </c>
      <c r="J151" s="8" t="s">
        <v>346</v>
      </c>
      <c r="K151" s="8" t="n">
        <v>2</v>
      </c>
      <c r="L151" s="10" t="s">
        <v>48</v>
      </c>
      <c r="M151" s="10" t="s">
        <v>48</v>
      </c>
      <c r="N151" s="10" t="s">
        <v>83</v>
      </c>
      <c r="O151" s="10"/>
      <c r="P151" s="8" t="str">
        <f aca="false">MID(IF(L151="","","; APP:"&amp;L151)&amp;IF(M151="","","; PS1:"&amp;M151)&amp;IF(N151="","","; AQP4:"&amp;N151)&amp;IF(O151="","","; CAG-EGFP:"&amp;O151),3,200)</f>
        <v>APP:+/-; PS1:+/-; AQP4:-</v>
      </c>
      <c r="Q151" s="8" t="s">
        <v>47</v>
      </c>
      <c r="R151" s="8" t="s">
        <v>88</v>
      </c>
      <c r="S151" s="8"/>
      <c r="T151" s="8" t="s">
        <v>349</v>
      </c>
    </row>
    <row r="152" customFormat="false" ht="15" hidden="false" customHeight="false" outlineLevel="0" collapsed="false">
      <c r="A152" s="7" t="s">
        <v>356</v>
      </c>
      <c r="B152" s="8" t="s">
        <v>129</v>
      </c>
      <c r="C152" s="8" t="n">
        <v>13</v>
      </c>
      <c r="D152" s="8" t="s">
        <v>33</v>
      </c>
      <c r="E152" s="9" t="n">
        <v>45336</v>
      </c>
      <c r="F152" s="8" t="n">
        <f aca="true">IF(E152="","",ROUND((TODAY()-E152)/7,1))</f>
        <v>121.6</v>
      </c>
      <c r="G152" s="8" t="s">
        <v>38</v>
      </c>
      <c r="H152" s="8"/>
      <c r="I152" s="8" t="s">
        <v>341</v>
      </c>
      <c r="J152" s="8" t="s">
        <v>342</v>
      </c>
      <c r="K152" s="8" t="n">
        <v>2</v>
      </c>
      <c r="L152" s="10" t="s">
        <v>62</v>
      </c>
      <c r="M152" s="10" t="s">
        <v>62</v>
      </c>
      <c r="N152" s="10" t="s">
        <v>83</v>
      </c>
      <c r="O152" s="10"/>
      <c r="P152" s="8" t="str">
        <f aca="false">MID(IF(L152="","","; APP:"&amp;L152)&amp;IF(M152="","","; PS1:"&amp;M152)&amp;IF(N152="","","; AQP4:"&amp;N152)&amp;IF(O152="","","; CAG-EGFP:"&amp;O152),3,200)</f>
        <v>APP:-/-; PS1:-/-; AQP4:-</v>
      </c>
      <c r="Q152" s="8" t="s">
        <v>47</v>
      </c>
      <c r="R152" s="8" t="s">
        <v>88</v>
      </c>
      <c r="S152" s="8"/>
      <c r="T152" s="8" t="s">
        <v>151</v>
      </c>
    </row>
    <row r="153" customFormat="false" ht="15" hidden="false" customHeight="false" outlineLevel="0" collapsed="false">
      <c r="A153" s="7" t="s">
        <v>357</v>
      </c>
      <c r="B153" s="8" t="s">
        <v>129</v>
      </c>
      <c r="C153" s="8" t="n">
        <v>14</v>
      </c>
      <c r="D153" s="8" t="s">
        <v>46</v>
      </c>
      <c r="E153" s="9" t="n">
        <v>45336</v>
      </c>
      <c r="F153" s="8" t="n">
        <f aca="true">IF(E153="","",ROUND((TODAY()-E153)/7,1))</f>
        <v>121.6</v>
      </c>
      <c r="G153" s="8" t="s">
        <v>38</v>
      </c>
      <c r="H153" s="8"/>
      <c r="I153" s="8" t="s">
        <v>341</v>
      </c>
      <c r="J153" s="8" t="s">
        <v>342</v>
      </c>
      <c r="K153" s="8" t="n">
        <v>2</v>
      </c>
      <c r="L153" s="10" t="s">
        <v>62</v>
      </c>
      <c r="M153" s="10" t="s">
        <v>62</v>
      </c>
      <c r="N153" s="10" t="s">
        <v>83</v>
      </c>
      <c r="O153" s="10"/>
      <c r="P153" s="8" t="str">
        <f aca="false">MID(IF(L153="","","; APP:"&amp;L153)&amp;IF(M153="","","; PS1:"&amp;M153)&amp;IF(N153="","","; AQP4:"&amp;N153)&amp;IF(O153="","","; CAG-EGFP:"&amp;O153),3,200)</f>
        <v>APP:-/-; PS1:-/-; AQP4:-</v>
      </c>
      <c r="Q153" s="8" t="s">
        <v>47</v>
      </c>
      <c r="R153" s="8" t="s">
        <v>88</v>
      </c>
      <c r="S153" s="8"/>
      <c r="T153" s="8" t="s">
        <v>151</v>
      </c>
    </row>
    <row r="154" customFormat="false" ht="15" hidden="false" customHeight="false" outlineLevel="0" collapsed="false">
      <c r="A154" s="7" t="s">
        <v>358</v>
      </c>
      <c r="B154" s="8" t="s">
        <v>129</v>
      </c>
      <c r="C154" s="8" t="n">
        <v>15</v>
      </c>
      <c r="D154" s="8" t="s">
        <v>46</v>
      </c>
      <c r="E154" s="9" t="n">
        <v>45336</v>
      </c>
      <c r="F154" s="8" t="n">
        <f aca="true">IF(E154="","",ROUND((TODAY()-E154)/7,1))</f>
        <v>121.6</v>
      </c>
      <c r="G154" s="8" t="s">
        <v>38</v>
      </c>
      <c r="H154" s="8"/>
      <c r="I154" s="8" t="s">
        <v>341</v>
      </c>
      <c r="J154" s="8" t="s">
        <v>342</v>
      </c>
      <c r="K154" s="8" t="n">
        <v>2</v>
      </c>
      <c r="L154" s="10" t="s">
        <v>48</v>
      </c>
      <c r="M154" s="10" t="s">
        <v>48</v>
      </c>
      <c r="N154" s="10" t="s">
        <v>83</v>
      </c>
      <c r="O154" s="10"/>
      <c r="P154" s="8" t="str">
        <f aca="false">MID(IF(L154="","","; APP:"&amp;L154)&amp;IF(M154="","","; PS1:"&amp;M154)&amp;IF(N154="","","; AQP4:"&amp;N154)&amp;IF(O154="","","; CAG-EGFP:"&amp;O154),3,200)</f>
        <v>APP:+/-; PS1:+/-; AQP4:-</v>
      </c>
      <c r="Q154" s="8" t="s">
        <v>47</v>
      </c>
      <c r="R154" s="8" t="s">
        <v>88</v>
      </c>
      <c r="S154" s="8"/>
      <c r="T154" s="8" t="s">
        <v>349</v>
      </c>
    </row>
    <row r="155" customFormat="false" ht="15" hidden="false" customHeight="false" outlineLevel="0" collapsed="false">
      <c r="A155" s="7" t="s">
        <v>359</v>
      </c>
      <c r="B155" s="8" t="s">
        <v>129</v>
      </c>
      <c r="C155" s="8" t="n">
        <v>16</v>
      </c>
      <c r="D155" s="8" t="s">
        <v>46</v>
      </c>
      <c r="E155" s="9" t="n">
        <v>45336</v>
      </c>
      <c r="F155" s="8" t="n">
        <f aca="true">IF(E155="","",ROUND((TODAY()-E155)/7,1))</f>
        <v>121.6</v>
      </c>
      <c r="G155" s="8" t="s">
        <v>38</v>
      </c>
      <c r="H155" s="8"/>
      <c r="I155" s="8" t="s">
        <v>341</v>
      </c>
      <c r="J155" s="8" t="s">
        <v>342</v>
      </c>
      <c r="K155" s="8" t="n">
        <v>2</v>
      </c>
      <c r="L155" s="10" t="s">
        <v>48</v>
      </c>
      <c r="M155" s="10" t="s">
        <v>48</v>
      </c>
      <c r="N155" s="10" t="s">
        <v>83</v>
      </c>
      <c r="O155" s="10"/>
      <c r="P155" s="8" t="str">
        <f aca="false">MID(IF(L155="","","; APP:"&amp;L155)&amp;IF(M155="","","; PS1:"&amp;M155)&amp;IF(N155="","","; AQP4:"&amp;N155)&amp;IF(O155="","","; CAG-EGFP:"&amp;O155),3,200)</f>
        <v>APP:+/-; PS1:+/-; AQP4:-</v>
      </c>
      <c r="Q155" s="8" t="s">
        <v>47</v>
      </c>
      <c r="R155" s="8" t="s">
        <v>88</v>
      </c>
      <c r="S155" s="8"/>
      <c r="T155" s="8" t="s">
        <v>349</v>
      </c>
    </row>
    <row r="156" customFormat="false" ht="15" hidden="false" customHeight="false" outlineLevel="0" collapsed="false">
      <c r="A156" s="7" t="s">
        <v>360</v>
      </c>
      <c r="B156" s="8" t="s">
        <v>129</v>
      </c>
      <c r="C156" s="8" t="n">
        <v>17</v>
      </c>
      <c r="D156" s="8" t="s">
        <v>46</v>
      </c>
      <c r="E156" s="9" t="n">
        <v>45336</v>
      </c>
      <c r="F156" s="8" t="n">
        <f aca="true">IF(E156="","",ROUND((TODAY()-E156)/7,1))</f>
        <v>121.6</v>
      </c>
      <c r="G156" s="8" t="s">
        <v>38</v>
      </c>
      <c r="H156" s="8"/>
      <c r="I156" s="8" t="s">
        <v>341</v>
      </c>
      <c r="J156" s="8" t="s">
        <v>342</v>
      </c>
      <c r="K156" s="8" t="n">
        <v>2</v>
      </c>
      <c r="L156" s="10" t="s">
        <v>48</v>
      </c>
      <c r="M156" s="10" t="s">
        <v>48</v>
      </c>
      <c r="N156" s="10" t="s">
        <v>83</v>
      </c>
      <c r="O156" s="10"/>
      <c r="P156" s="8" t="str">
        <f aca="false">MID(IF(L156="","","; APP:"&amp;L156)&amp;IF(M156="","","; PS1:"&amp;M156)&amp;IF(N156="","","; AQP4:"&amp;N156)&amp;IF(O156="","","; CAG-EGFP:"&amp;O156),3,200)</f>
        <v>APP:+/-; PS1:+/-; AQP4:-</v>
      </c>
      <c r="Q156" s="8" t="s">
        <v>47</v>
      </c>
      <c r="R156" s="8" t="s">
        <v>88</v>
      </c>
      <c r="S156" s="8"/>
      <c r="T156" s="8" t="s">
        <v>349</v>
      </c>
    </row>
    <row r="157" customFormat="false" ht="15" hidden="false" customHeight="false" outlineLevel="0" collapsed="false">
      <c r="A157" s="7" t="s">
        <v>361</v>
      </c>
      <c r="B157" s="8" t="s">
        <v>129</v>
      </c>
      <c r="C157" s="8" t="n">
        <v>18</v>
      </c>
      <c r="D157" s="8" t="s">
        <v>46</v>
      </c>
      <c r="E157" s="9" t="n">
        <v>45336</v>
      </c>
      <c r="F157" s="8" t="n">
        <f aca="true">IF(E157="","",ROUND((TODAY()-E157)/7,1))</f>
        <v>121.6</v>
      </c>
      <c r="G157" s="8" t="s">
        <v>38</v>
      </c>
      <c r="H157" s="8"/>
      <c r="I157" s="8" t="s">
        <v>341</v>
      </c>
      <c r="J157" s="8" t="s">
        <v>342</v>
      </c>
      <c r="K157" s="8" t="n">
        <v>2</v>
      </c>
      <c r="L157" s="10" t="s">
        <v>62</v>
      </c>
      <c r="M157" s="10" t="s">
        <v>62</v>
      </c>
      <c r="N157" s="10" t="s">
        <v>83</v>
      </c>
      <c r="O157" s="10"/>
      <c r="P157" s="8" t="str">
        <f aca="false">MID(IF(L157="","","; APP:"&amp;L157)&amp;IF(M157="","","; PS1:"&amp;M157)&amp;IF(N157="","","; AQP4:"&amp;N157)&amp;IF(O157="","","; CAG-EGFP:"&amp;O157),3,200)</f>
        <v>APP:-/-; PS1:-/-; AQP4:-</v>
      </c>
      <c r="Q157" s="8" t="s">
        <v>47</v>
      </c>
      <c r="R157" s="8" t="s">
        <v>88</v>
      </c>
      <c r="S157" s="8"/>
      <c r="T157" s="8" t="s">
        <v>151</v>
      </c>
    </row>
    <row r="158" customFormat="false" ht="15" hidden="false" customHeight="false" outlineLevel="0" collapsed="false">
      <c r="A158" s="7" t="s">
        <v>362</v>
      </c>
      <c r="B158" s="8" t="s">
        <v>129</v>
      </c>
      <c r="C158" s="8" t="n">
        <v>19</v>
      </c>
      <c r="D158" s="8" t="s">
        <v>46</v>
      </c>
      <c r="E158" s="9" t="n">
        <v>45336</v>
      </c>
      <c r="F158" s="8" t="n">
        <f aca="true">IF(E158="","",ROUND((TODAY()-E158)/7,1))</f>
        <v>121.6</v>
      </c>
      <c r="G158" s="8" t="s">
        <v>38</v>
      </c>
      <c r="H158" s="8"/>
      <c r="I158" s="8" t="s">
        <v>341</v>
      </c>
      <c r="J158" s="8" t="s">
        <v>342</v>
      </c>
      <c r="K158" s="8" t="n">
        <v>2</v>
      </c>
      <c r="L158" s="10" t="s">
        <v>48</v>
      </c>
      <c r="M158" s="10" t="s">
        <v>48</v>
      </c>
      <c r="N158" s="10" t="s">
        <v>83</v>
      </c>
      <c r="O158" s="10"/>
      <c r="P158" s="8" t="str">
        <f aca="false">MID(IF(L158="","","; APP:"&amp;L158)&amp;IF(M158="","","; PS1:"&amp;M158)&amp;IF(N158="","","; AQP4:"&amp;N158)&amp;IF(O158="","","; CAG-EGFP:"&amp;O158),3,200)</f>
        <v>APP:+/-; PS1:+/-; AQP4:-</v>
      </c>
      <c r="Q158" s="8" t="s">
        <v>47</v>
      </c>
      <c r="R158" s="8" t="s">
        <v>88</v>
      </c>
      <c r="S158" s="8"/>
      <c r="T158" s="8" t="s">
        <v>349</v>
      </c>
    </row>
    <row r="159" customFormat="false" ht="15" hidden="false" customHeight="false" outlineLevel="0" collapsed="false">
      <c r="A159" s="7" t="s">
        <v>363</v>
      </c>
      <c r="B159" s="8" t="s">
        <v>129</v>
      </c>
      <c r="C159" s="8" t="n">
        <v>20</v>
      </c>
      <c r="D159" s="8" t="s">
        <v>46</v>
      </c>
      <c r="E159" s="9" t="n">
        <v>45373</v>
      </c>
      <c r="F159" s="8" t="n">
        <f aca="true">IF(E159="","",ROUND((TODAY()-E159)/7,1))</f>
        <v>116.3</v>
      </c>
      <c r="G159" s="8" t="s">
        <v>38</v>
      </c>
      <c r="H159" s="8"/>
      <c r="I159" s="8" t="s">
        <v>341</v>
      </c>
      <c r="J159" s="8" t="s">
        <v>364</v>
      </c>
      <c r="K159" s="8" t="n">
        <v>2</v>
      </c>
      <c r="L159" s="10" t="s">
        <v>48</v>
      </c>
      <c r="M159" s="10" t="s">
        <v>48</v>
      </c>
      <c r="N159" s="10" t="s">
        <v>83</v>
      </c>
      <c r="O159" s="10"/>
      <c r="P159" s="8" t="str">
        <f aca="false">MID(IF(L159="","","; APP:"&amp;L159)&amp;IF(M159="","","; PS1:"&amp;M159)&amp;IF(N159="","","; AQP4:"&amp;N159)&amp;IF(O159="","","; CAG-EGFP:"&amp;O159),3,200)</f>
        <v>APP:+/-; PS1:+/-; AQP4:-</v>
      </c>
      <c r="Q159" s="8" t="s">
        <v>47</v>
      </c>
      <c r="R159" s="8" t="s">
        <v>88</v>
      </c>
      <c r="S159" s="8"/>
      <c r="T159" s="8" t="s">
        <v>349</v>
      </c>
    </row>
    <row r="160" customFormat="false" ht="17.15" hidden="false" customHeight="false" outlineLevel="0" collapsed="false">
      <c r="A160" s="7" t="s">
        <v>365</v>
      </c>
      <c r="B160" s="8" t="s">
        <v>129</v>
      </c>
      <c r="C160" s="8" t="n">
        <v>21</v>
      </c>
      <c r="D160" s="8" t="s">
        <v>46</v>
      </c>
      <c r="E160" s="9" t="n">
        <v>45373</v>
      </c>
      <c r="F160" s="8" t="n">
        <f aca="true">IF(E160="","",ROUND((TODAY()-E160)/7,1))</f>
        <v>116.3</v>
      </c>
      <c r="G160" s="8" t="s">
        <v>38</v>
      </c>
      <c r="H160" s="8"/>
      <c r="I160" s="8" t="s">
        <v>341</v>
      </c>
      <c r="J160" s="8" t="s">
        <v>364</v>
      </c>
      <c r="K160" s="8" t="n">
        <v>2</v>
      </c>
      <c r="L160" s="10" t="s">
        <v>62</v>
      </c>
      <c r="M160" s="10" t="s">
        <v>62</v>
      </c>
      <c r="N160" s="10" t="s">
        <v>83</v>
      </c>
      <c r="O160" s="10"/>
      <c r="P160" s="8" t="str">
        <f aca="false">MID(IF(L160="","","; APP:"&amp;L160)&amp;IF(M160="","","; PS1:"&amp;M160)&amp;IF(N160="","","; AQP4:"&amp;N160)&amp;IF(O160="","","; CAG-EGFP:"&amp;O160),3,200)</f>
        <v>APP:-/-; PS1:-/-; AQP4:-</v>
      </c>
      <c r="Q160" s="8" t="s">
        <v>47</v>
      </c>
      <c r="R160" s="8" t="s">
        <v>88</v>
      </c>
      <c r="S160" s="8"/>
      <c r="T160" s="8" t="s">
        <v>366</v>
      </c>
    </row>
    <row r="161" customFormat="false" ht="15" hidden="false" customHeight="false" outlineLevel="0" collapsed="false">
      <c r="A161" s="7" t="s">
        <v>367</v>
      </c>
      <c r="B161" s="8" t="s">
        <v>129</v>
      </c>
      <c r="C161" s="8" t="n">
        <v>22</v>
      </c>
      <c r="D161" s="8" t="s">
        <v>33</v>
      </c>
      <c r="E161" s="9" t="n">
        <v>45387</v>
      </c>
      <c r="F161" s="8" t="n">
        <f aca="true">IF(E161="","",ROUND((TODAY()-E161)/7,1))</f>
        <v>114.3</v>
      </c>
      <c r="G161" s="8" t="s">
        <v>38</v>
      </c>
      <c r="H161" s="8"/>
      <c r="I161" s="8" t="s">
        <v>341</v>
      </c>
      <c r="J161" s="8" t="s">
        <v>338</v>
      </c>
      <c r="K161" s="8" t="n">
        <v>2</v>
      </c>
      <c r="L161" s="10" t="s">
        <v>48</v>
      </c>
      <c r="M161" s="10" t="s">
        <v>48</v>
      </c>
      <c r="N161" s="10" t="s">
        <v>83</v>
      </c>
      <c r="O161" s="10"/>
      <c r="P161" s="8" t="str">
        <f aca="false">MID(IF(L161="","","; APP:"&amp;L161)&amp;IF(M161="","","; PS1:"&amp;M161)&amp;IF(N161="","","; AQP4:"&amp;N161)&amp;IF(O161="","","; CAG-EGFP:"&amp;O161),3,200)</f>
        <v>APP:+/-; PS1:+/-; AQP4:-</v>
      </c>
      <c r="Q161" s="8" t="s">
        <v>47</v>
      </c>
      <c r="R161" s="8" t="s">
        <v>88</v>
      </c>
      <c r="S161" s="8"/>
      <c r="T161" s="8" t="s">
        <v>349</v>
      </c>
    </row>
    <row r="162" customFormat="false" ht="15" hidden="false" customHeight="false" outlineLevel="0" collapsed="false">
      <c r="A162" s="7" t="s">
        <v>368</v>
      </c>
      <c r="B162" s="8" t="s">
        <v>129</v>
      </c>
      <c r="C162" s="8" t="n">
        <v>23</v>
      </c>
      <c r="D162" s="8" t="s">
        <v>33</v>
      </c>
      <c r="E162" s="9" t="n">
        <v>45387</v>
      </c>
      <c r="F162" s="8" t="n">
        <f aca="true">IF(E162="","",ROUND((TODAY()-E162)/7,1))</f>
        <v>114.3</v>
      </c>
      <c r="G162" s="8" t="s">
        <v>38</v>
      </c>
      <c r="H162" s="8"/>
      <c r="I162" s="8" t="s">
        <v>341</v>
      </c>
      <c r="J162" s="8" t="s">
        <v>338</v>
      </c>
      <c r="K162" s="8" t="n">
        <v>2</v>
      </c>
      <c r="L162" s="10" t="s">
        <v>48</v>
      </c>
      <c r="M162" s="10" t="s">
        <v>48</v>
      </c>
      <c r="N162" s="10" t="s">
        <v>83</v>
      </c>
      <c r="O162" s="10"/>
      <c r="P162" s="8" t="str">
        <f aca="false">MID(IF(L162="","","; APP:"&amp;L162)&amp;IF(M162="","","; PS1:"&amp;M162)&amp;IF(N162="","","; AQP4:"&amp;N162)&amp;IF(O162="","","; CAG-EGFP:"&amp;O162),3,200)</f>
        <v>APP:+/-; PS1:+/-; AQP4:-</v>
      </c>
      <c r="Q162" s="8" t="s">
        <v>47</v>
      </c>
      <c r="R162" s="8" t="s">
        <v>88</v>
      </c>
      <c r="S162" s="8"/>
      <c r="T162" s="8" t="s">
        <v>349</v>
      </c>
    </row>
    <row r="163" customFormat="false" ht="15" hidden="false" customHeight="false" outlineLevel="0" collapsed="false">
      <c r="A163" s="7" t="s">
        <v>369</v>
      </c>
      <c r="B163" s="8" t="s">
        <v>129</v>
      </c>
      <c r="C163" s="8" t="n">
        <v>24</v>
      </c>
      <c r="D163" s="8" t="s">
        <v>33</v>
      </c>
      <c r="E163" s="9" t="n">
        <v>45387</v>
      </c>
      <c r="F163" s="8" t="n">
        <f aca="true">IF(E163="","",ROUND((TODAY()-E163)/7,1))</f>
        <v>114.3</v>
      </c>
      <c r="G163" s="8" t="s">
        <v>38</v>
      </c>
      <c r="H163" s="8"/>
      <c r="I163" s="8" t="s">
        <v>341</v>
      </c>
      <c r="J163" s="8" t="s">
        <v>338</v>
      </c>
      <c r="K163" s="8" t="n">
        <v>2</v>
      </c>
      <c r="L163" s="10" t="s">
        <v>48</v>
      </c>
      <c r="M163" s="10" t="s">
        <v>48</v>
      </c>
      <c r="N163" s="10" t="s">
        <v>83</v>
      </c>
      <c r="O163" s="10"/>
      <c r="P163" s="8" t="str">
        <f aca="false">MID(IF(L163="","","; APP:"&amp;L163)&amp;IF(M163="","","; PS1:"&amp;M163)&amp;IF(N163="","","; AQP4:"&amp;N163)&amp;IF(O163="","","; CAG-EGFP:"&amp;O163),3,200)</f>
        <v>APP:+/-; PS1:+/-; AQP4:-</v>
      </c>
      <c r="Q163" s="8" t="s">
        <v>47</v>
      </c>
      <c r="R163" s="8" t="s">
        <v>88</v>
      </c>
      <c r="S163" s="8"/>
      <c r="T163" s="8" t="s">
        <v>349</v>
      </c>
    </row>
    <row r="164" customFormat="false" ht="17.15" hidden="false" customHeight="false" outlineLevel="0" collapsed="false">
      <c r="A164" s="7" t="s">
        <v>370</v>
      </c>
      <c r="B164" s="8" t="s">
        <v>129</v>
      </c>
      <c r="C164" s="8" t="n">
        <v>25</v>
      </c>
      <c r="D164" s="8" t="s">
        <v>46</v>
      </c>
      <c r="E164" s="9" t="n">
        <v>45387</v>
      </c>
      <c r="F164" s="8" t="n">
        <f aca="true">IF(E164="","",ROUND((TODAY()-E164)/7,1))</f>
        <v>114.3</v>
      </c>
      <c r="G164" s="8" t="s">
        <v>38</v>
      </c>
      <c r="H164" s="8"/>
      <c r="I164" s="8" t="s">
        <v>341</v>
      </c>
      <c r="J164" s="8" t="s">
        <v>338</v>
      </c>
      <c r="K164" s="8" t="n">
        <v>2</v>
      </c>
      <c r="L164" s="10" t="s">
        <v>62</v>
      </c>
      <c r="M164" s="10" t="s">
        <v>62</v>
      </c>
      <c r="N164" s="10" t="s">
        <v>83</v>
      </c>
      <c r="O164" s="10"/>
      <c r="P164" s="8" t="str">
        <f aca="false">MID(IF(L164="","","; APP:"&amp;L164)&amp;IF(M164="","","; PS1:"&amp;M164)&amp;IF(N164="","","; AQP4:"&amp;N164)&amp;IF(O164="","","; CAG-EGFP:"&amp;O164),3,200)</f>
        <v>APP:-/-; PS1:-/-; AQP4:-</v>
      </c>
      <c r="Q164" s="8" t="s">
        <v>47</v>
      </c>
      <c r="R164" s="8" t="s">
        <v>88</v>
      </c>
      <c r="S164" s="8"/>
      <c r="T164" s="8" t="s">
        <v>366</v>
      </c>
    </row>
    <row r="165" customFormat="false" ht="15" hidden="false" customHeight="false" outlineLevel="0" collapsed="false">
      <c r="A165" s="7" t="s">
        <v>371</v>
      </c>
      <c r="B165" s="8" t="s">
        <v>129</v>
      </c>
      <c r="C165" s="8" t="n">
        <v>26</v>
      </c>
      <c r="D165" s="8" t="s">
        <v>46</v>
      </c>
      <c r="E165" s="9" t="n">
        <v>45387</v>
      </c>
      <c r="F165" s="8" t="n">
        <f aca="true">IF(E165="","",ROUND((TODAY()-E165)/7,1))</f>
        <v>114.3</v>
      </c>
      <c r="G165" s="8" t="s">
        <v>38</v>
      </c>
      <c r="H165" s="8"/>
      <c r="I165" s="8" t="s">
        <v>341</v>
      </c>
      <c r="J165" s="8" t="s">
        <v>338</v>
      </c>
      <c r="K165" s="8" t="n">
        <v>2</v>
      </c>
      <c r="L165" s="10" t="s">
        <v>48</v>
      </c>
      <c r="M165" s="10" t="s">
        <v>48</v>
      </c>
      <c r="N165" s="10" t="s">
        <v>83</v>
      </c>
      <c r="O165" s="10"/>
      <c r="P165" s="8" t="str">
        <f aca="false">MID(IF(L165="","","; APP:"&amp;L165)&amp;IF(M165="","","; PS1:"&amp;M165)&amp;IF(N165="","","; AQP4:"&amp;N165)&amp;IF(O165="","","; CAG-EGFP:"&amp;O165),3,200)</f>
        <v>APP:+/-; PS1:+/-; AQP4:-</v>
      </c>
      <c r="Q165" s="8" t="s">
        <v>47</v>
      </c>
      <c r="R165" s="8" t="s">
        <v>88</v>
      </c>
      <c r="S165" s="8"/>
      <c r="T165" s="8" t="s">
        <v>349</v>
      </c>
    </row>
    <row r="166" customFormat="false" ht="17.15" hidden="false" customHeight="false" outlineLevel="0" collapsed="false">
      <c r="A166" s="7" t="s">
        <v>372</v>
      </c>
      <c r="B166" s="8" t="s">
        <v>129</v>
      </c>
      <c r="C166" s="8" t="n">
        <v>27</v>
      </c>
      <c r="D166" s="8" t="s">
        <v>46</v>
      </c>
      <c r="E166" s="9" t="n">
        <v>45387</v>
      </c>
      <c r="F166" s="8" t="n">
        <f aca="true">IF(E166="","",ROUND((TODAY()-E166)/7,1))</f>
        <v>114.3</v>
      </c>
      <c r="G166" s="8" t="s">
        <v>38</v>
      </c>
      <c r="H166" s="8"/>
      <c r="I166" s="8" t="s">
        <v>341</v>
      </c>
      <c r="J166" s="8" t="s">
        <v>338</v>
      </c>
      <c r="K166" s="8" t="n">
        <v>2</v>
      </c>
      <c r="L166" s="10" t="s">
        <v>48</v>
      </c>
      <c r="M166" s="10" t="s">
        <v>48</v>
      </c>
      <c r="N166" s="10" t="s">
        <v>83</v>
      </c>
      <c r="O166" s="10"/>
      <c r="P166" s="8" t="str">
        <f aca="false">MID(IF(L166="","","; APP:"&amp;L166)&amp;IF(M166="","","; PS1:"&amp;M166)&amp;IF(N166="","","; AQP4:"&amp;N166)&amp;IF(O166="","","; CAG-EGFP:"&amp;O166),3,200)</f>
        <v>APP:+/-; PS1:+/-; AQP4:-</v>
      </c>
      <c r="Q166" s="8" t="s">
        <v>47</v>
      </c>
      <c r="R166" s="8" t="s">
        <v>88</v>
      </c>
      <c r="S166" s="8"/>
      <c r="T166" s="11" t="s">
        <v>373</v>
      </c>
    </row>
    <row r="167" customFormat="false" ht="15" hidden="false" customHeight="false" outlineLevel="0" collapsed="false">
      <c r="A167" s="7" t="s">
        <v>374</v>
      </c>
      <c r="B167" s="8" t="s">
        <v>129</v>
      </c>
      <c r="C167" s="8" t="n">
        <v>28</v>
      </c>
      <c r="D167" s="8" t="s">
        <v>33</v>
      </c>
      <c r="E167" s="9" t="n">
        <v>45403</v>
      </c>
      <c r="F167" s="8" t="n">
        <f aca="true">IF(E167="","",ROUND((TODAY()-E167)/7,1))</f>
        <v>112</v>
      </c>
      <c r="G167" s="8" t="s">
        <v>38</v>
      </c>
      <c r="H167" s="8"/>
      <c r="I167" s="8" t="s">
        <v>341</v>
      </c>
      <c r="J167" s="8" t="s">
        <v>338</v>
      </c>
      <c r="K167" s="8" t="n">
        <v>2</v>
      </c>
      <c r="L167" s="10" t="s">
        <v>62</v>
      </c>
      <c r="M167" s="10" t="s">
        <v>62</v>
      </c>
      <c r="N167" s="10" t="s">
        <v>83</v>
      </c>
      <c r="O167" s="10"/>
      <c r="P167" s="8" t="str">
        <f aca="false">MID(IF(L167="","","; APP:"&amp;L167)&amp;IF(M167="","","; PS1:"&amp;M167)&amp;IF(N167="","","; AQP4:"&amp;N167)&amp;IF(O167="","","; CAG-EGFP:"&amp;O167),3,200)</f>
        <v>APP:-/-; PS1:-/-; AQP4:-</v>
      </c>
      <c r="Q167" s="8" t="s">
        <v>47</v>
      </c>
      <c r="R167" s="8" t="s">
        <v>88</v>
      </c>
      <c r="S167" s="8"/>
      <c r="T167" s="8" t="s">
        <v>375</v>
      </c>
    </row>
    <row r="168" customFormat="false" ht="15" hidden="false" customHeight="false" outlineLevel="0" collapsed="false">
      <c r="A168" s="7" t="s">
        <v>376</v>
      </c>
      <c r="B168" s="8" t="s">
        <v>129</v>
      </c>
      <c r="C168" s="8" t="n">
        <v>29</v>
      </c>
      <c r="D168" s="8" t="s">
        <v>33</v>
      </c>
      <c r="E168" s="9" t="n">
        <v>45403</v>
      </c>
      <c r="F168" s="8" t="n">
        <f aca="true">IF(E168="","",ROUND((TODAY()-E168)/7,1))</f>
        <v>112</v>
      </c>
      <c r="G168" s="8" t="s">
        <v>38</v>
      </c>
      <c r="H168" s="8"/>
      <c r="I168" s="8" t="s">
        <v>341</v>
      </c>
      <c r="J168" s="8" t="s">
        <v>338</v>
      </c>
      <c r="K168" s="8" t="n">
        <v>2</v>
      </c>
      <c r="L168" s="10" t="s">
        <v>62</v>
      </c>
      <c r="M168" s="10" t="s">
        <v>62</v>
      </c>
      <c r="N168" s="10" t="s">
        <v>83</v>
      </c>
      <c r="O168" s="10"/>
      <c r="P168" s="8" t="str">
        <f aca="false">MID(IF(L168="","","; APP:"&amp;L168)&amp;IF(M168="","","; PS1:"&amp;M168)&amp;IF(N168="","","; AQP4:"&amp;N168)&amp;IF(O168="","","; CAG-EGFP:"&amp;O168),3,200)</f>
        <v>APP:-/-; PS1:-/-; AQP4:-</v>
      </c>
      <c r="Q168" s="8" t="s">
        <v>47</v>
      </c>
      <c r="R168" s="8" t="s">
        <v>88</v>
      </c>
      <c r="S168" s="8"/>
      <c r="T168" s="8" t="s">
        <v>375</v>
      </c>
    </row>
    <row r="169" customFormat="false" ht="17.15" hidden="false" customHeight="false" outlineLevel="0" collapsed="false">
      <c r="A169" s="7" t="s">
        <v>377</v>
      </c>
      <c r="B169" s="8" t="s">
        <v>129</v>
      </c>
      <c r="C169" s="8" t="n">
        <v>30</v>
      </c>
      <c r="D169" s="8" t="s">
        <v>33</v>
      </c>
      <c r="E169" s="9" t="n">
        <v>45403</v>
      </c>
      <c r="F169" s="8" t="n">
        <f aca="true">IF(E169="","",ROUND((TODAY()-E169)/7,1))</f>
        <v>112</v>
      </c>
      <c r="G169" s="8" t="s">
        <v>38</v>
      </c>
      <c r="H169" s="8"/>
      <c r="I169" s="8" t="s">
        <v>341</v>
      </c>
      <c r="J169" s="8" t="s">
        <v>338</v>
      </c>
      <c r="K169" s="8" t="n">
        <v>2</v>
      </c>
      <c r="L169" s="10" t="s">
        <v>48</v>
      </c>
      <c r="M169" s="10" t="s">
        <v>48</v>
      </c>
      <c r="N169" s="10" t="s">
        <v>83</v>
      </c>
      <c r="O169" s="10"/>
      <c r="P169" s="8" t="str">
        <f aca="false">MID(IF(L169="","","; APP:"&amp;L169)&amp;IF(M169="","","; PS1:"&amp;M169)&amp;IF(N169="","","; AQP4:"&amp;N169)&amp;IF(O169="","","; CAG-EGFP:"&amp;O169),3,200)</f>
        <v>APP:+/-; PS1:+/-; AQP4:-</v>
      </c>
      <c r="Q169" s="8" t="s">
        <v>47</v>
      </c>
      <c r="R169" s="8" t="s">
        <v>88</v>
      </c>
      <c r="S169" s="8"/>
      <c r="T169" s="8" t="s">
        <v>378</v>
      </c>
    </row>
    <row r="170" customFormat="false" ht="15" hidden="false" customHeight="false" outlineLevel="0" collapsed="false">
      <c r="A170" s="7" t="s">
        <v>379</v>
      </c>
      <c r="B170" s="8" t="s">
        <v>129</v>
      </c>
      <c r="C170" s="8" t="n">
        <v>31</v>
      </c>
      <c r="D170" s="8" t="s">
        <v>33</v>
      </c>
      <c r="E170" s="9" t="n">
        <v>45403</v>
      </c>
      <c r="F170" s="8" t="n">
        <f aca="true">IF(E170="","",ROUND((TODAY()-E170)/7,1))</f>
        <v>112</v>
      </c>
      <c r="G170" s="8" t="s">
        <v>38</v>
      </c>
      <c r="H170" s="8"/>
      <c r="I170" s="8" t="s">
        <v>341</v>
      </c>
      <c r="J170" s="8" t="s">
        <v>338</v>
      </c>
      <c r="K170" s="8" t="n">
        <v>2</v>
      </c>
      <c r="L170" s="10" t="s">
        <v>62</v>
      </c>
      <c r="M170" s="10" t="s">
        <v>62</v>
      </c>
      <c r="N170" s="10" t="s">
        <v>83</v>
      </c>
      <c r="O170" s="10"/>
      <c r="P170" s="8" t="str">
        <f aca="false">MID(IF(L170="","","; APP:"&amp;L170)&amp;IF(M170="","","; PS1:"&amp;M170)&amp;IF(N170="","","; AQP4:"&amp;N170)&amp;IF(O170="","","; CAG-EGFP:"&amp;O170),3,200)</f>
        <v>APP:-/-; PS1:-/-; AQP4:-</v>
      </c>
      <c r="Q170" s="8" t="s">
        <v>47</v>
      </c>
      <c r="R170" s="8" t="s">
        <v>88</v>
      </c>
      <c r="S170" s="8"/>
      <c r="T170" s="8" t="s">
        <v>375</v>
      </c>
    </row>
    <row r="171" customFormat="false" ht="15" hidden="false" customHeight="false" outlineLevel="0" collapsed="false">
      <c r="A171" s="7" t="s">
        <v>380</v>
      </c>
      <c r="B171" s="8" t="s">
        <v>129</v>
      </c>
      <c r="C171" s="8" t="n">
        <v>32</v>
      </c>
      <c r="D171" s="8" t="s">
        <v>33</v>
      </c>
      <c r="E171" s="9" t="n">
        <v>45403</v>
      </c>
      <c r="F171" s="8" t="n">
        <f aca="true">IF(E171="","",ROUND((TODAY()-E171)/7,1))</f>
        <v>112</v>
      </c>
      <c r="G171" s="8" t="s">
        <v>38</v>
      </c>
      <c r="H171" s="8"/>
      <c r="I171" s="8" t="s">
        <v>341</v>
      </c>
      <c r="J171" s="8" t="s">
        <v>338</v>
      </c>
      <c r="K171" s="8" t="n">
        <v>2</v>
      </c>
      <c r="L171" s="10" t="s">
        <v>62</v>
      </c>
      <c r="M171" s="10" t="s">
        <v>62</v>
      </c>
      <c r="N171" s="10" t="s">
        <v>83</v>
      </c>
      <c r="O171" s="10"/>
      <c r="P171" s="8" t="str">
        <f aca="false">MID(IF(L171="","","; APP:"&amp;L171)&amp;IF(M171="","","; PS1:"&amp;M171)&amp;IF(N171="","","; AQP4:"&amp;N171)&amp;IF(O171="","","; CAG-EGFP:"&amp;O171),3,200)</f>
        <v>APP:-/-; PS1:-/-; AQP4:-</v>
      </c>
      <c r="Q171" s="8" t="s">
        <v>47</v>
      </c>
      <c r="R171" s="8" t="s">
        <v>88</v>
      </c>
      <c r="S171" s="8"/>
      <c r="T171" s="8" t="s">
        <v>375</v>
      </c>
    </row>
    <row r="172" customFormat="false" ht="17.15" hidden="false" customHeight="false" outlineLevel="0" collapsed="false">
      <c r="A172" s="7" t="s">
        <v>381</v>
      </c>
      <c r="B172" s="8" t="s">
        <v>129</v>
      </c>
      <c r="C172" s="8" t="n">
        <v>33</v>
      </c>
      <c r="D172" s="8" t="s">
        <v>46</v>
      </c>
      <c r="E172" s="9" t="n">
        <v>45403</v>
      </c>
      <c r="F172" s="8" t="n">
        <f aca="true">IF(E172="","",ROUND((TODAY()-E172)/7,1))</f>
        <v>112</v>
      </c>
      <c r="G172" s="8" t="s">
        <v>38</v>
      </c>
      <c r="H172" s="8"/>
      <c r="I172" s="8" t="s">
        <v>341</v>
      </c>
      <c r="J172" s="8" t="s">
        <v>338</v>
      </c>
      <c r="K172" s="8" t="n">
        <v>2</v>
      </c>
      <c r="L172" s="10" t="s">
        <v>62</v>
      </c>
      <c r="M172" s="10" t="s">
        <v>62</v>
      </c>
      <c r="N172" s="10" t="s">
        <v>83</v>
      </c>
      <c r="O172" s="10"/>
      <c r="P172" s="8" t="str">
        <f aca="false">MID(IF(L172="","","; APP:"&amp;L172)&amp;IF(M172="","","; PS1:"&amp;M172)&amp;IF(N172="","","; AQP4:"&amp;N172)&amp;IF(O172="","","; CAG-EGFP:"&amp;O172),3,200)</f>
        <v>APP:-/-; PS1:-/-; AQP4:-</v>
      </c>
      <c r="Q172" s="8" t="s">
        <v>47</v>
      </c>
      <c r="R172" s="8" t="s">
        <v>88</v>
      </c>
      <c r="S172" s="8"/>
      <c r="T172" s="8" t="s">
        <v>284</v>
      </c>
    </row>
    <row r="173" customFormat="false" ht="17.15" hidden="false" customHeight="false" outlineLevel="0" collapsed="false">
      <c r="A173" s="7" t="s">
        <v>382</v>
      </c>
      <c r="B173" s="8" t="s">
        <v>129</v>
      </c>
      <c r="C173" s="8" t="n">
        <v>34</v>
      </c>
      <c r="D173" s="8" t="s">
        <v>46</v>
      </c>
      <c r="E173" s="9" t="n">
        <v>45403</v>
      </c>
      <c r="F173" s="8" t="n">
        <f aca="true">IF(E173="","",ROUND((TODAY()-E173)/7,1))</f>
        <v>112</v>
      </c>
      <c r="G173" s="8" t="s">
        <v>38</v>
      </c>
      <c r="H173" s="8"/>
      <c r="I173" s="8" t="s">
        <v>341</v>
      </c>
      <c r="J173" s="8" t="s">
        <v>338</v>
      </c>
      <c r="K173" s="8" t="n">
        <v>2</v>
      </c>
      <c r="L173" s="10" t="s">
        <v>48</v>
      </c>
      <c r="M173" s="10" t="s">
        <v>48</v>
      </c>
      <c r="N173" s="10" t="s">
        <v>83</v>
      </c>
      <c r="O173" s="10"/>
      <c r="P173" s="8" t="str">
        <f aca="false">MID(IF(L173="","","; APP:"&amp;L173)&amp;IF(M173="","","; PS1:"&amp;M173)&amp;IF(N173="","","; AQP4:"&amp;N173)&amp;IF(O173="","","; CAG-EGFP:"&amp;O173),3,200)</f>
        <v>APP:+/-; PS1:+/-; AQP4:-</v>
      </c>
      <c r="Q173" s="8" t="s">
        <v>47</v>
      </c>
      <c r="R173" s="8" t="s">
        <v>88</v>
      </c>
      <c r="S173" s="8"/>
      <c r="T173" s="8" t="s">
        <v>378</v>
      </c>
    </row>
    <row r="174" customFormat="false" ht="17.15" hidden="false" customHeight="false" outlineLevel="0" collapsed="false">
      <c r="A174" s="7" t="s">
        <v>383</v>
      </c>
      <c r="B174" s="8" t="s">
        <v>129</v>
      </c>
      <c r="C174" s="8" t="n">
        <v>35</v>
      </c>
      <c r="D174" s="8" t="s">
        <v>33</v>
      </c>
      <c r="E174" s="9" t="n">
        <v>45414</v>
      </c>
      <c r="F174" s="8" t="n">
        <f aca="true">IF(E174="","",ROUND((TODAY()-E174)/7,1))</f>
        <v>110.4</v>
      </c>
      <c r="G174" s="8" t="s">
        <v>38</v>
      </c>
      <c r="H174" s="8"/>
      <c r="I174" s="8" t="s">
        <v>341</v>
      </c>
      <c r="J174" s="8" t="s">
        <v>338</v>
      </c>
      <c r="K174" s="8" t="n">
        <v>2</v>
      </c>
      <c r="L174" s="10" t="s">
        <v>48</v>
      </c>
      <c r="M174" s="10" t="s">
        <v>48</v>
      </c>
      <c r="N174" s="10" t="s">
        <v>83</v>
      </c>
      <c r="O174" s="10"/>
      <c r="P174" s="8" t="str">
        <f aca="false">MID(IF(L174="","","; APP:"&amp;L174)&amp;IF(M174="","","; PS1:"&amp;M174)&amp;IF(N174="","","; AQP4:"&amp;N174)&amp;IF(O174="","","; CAG-EGFP:"&amp;O174),3,200)</f>
        <v>APP:+/-; PS1:+/-; AQP4:-</v>
      </c>
      <c r="Q174" s="8" t="s">
        <v>47</v>
      </c>
      <c r="R174" s="8" t="s">
        <v>88</v>
      </c>
      <c r="S174" s="8"/>
      <c r="T174" s="11" t="s">
        <v>384</v>
      </c>
    </row>
    <row r="175" customFormat="false" ht="17.15" hidden="false" customHeight="false" outlineLevel="0" collapsed="false">
      <c r="A175" s="7" t="s">
        <v>385</v>
      </c>
      <c r="B175" s="8" t="s">
        <v>129</v>
      </c>
      <c r="C175" s="8" t="n">
        <v>36</v>
      </c>
      <c r="D175" s="8" t="s">
        <v>33</v>
      </c>
      <c r="E175" s="9" t="n">
        <v>45414</v>
      </c>
      <c r="F175" s="8" t="n">
        <f aca="true">IF(E175="","",ROUND((TODAY()-E175)/7,1))</f>
        <v>110.4</v>
      </c>
      <c r="G175" s="8" t="s">
        <v>38</v>
      </c>
      <c r="H175" s="8"/>
      <c r="I175" s="8" t="s">
        <v>341</v>
      </c>
      <c r="J175" s="8" t="s">
        <v>338</v>
      </c>
      <c r="K175" s="8" t="n">
        <v>2</v>
      </c>
      <c r="L175" s="10" t="s">
        <v>62</v>
      </c>
      <c r="M175" s="10" t="s">
        <v>62</v>
      </c>
      <c r="N175" s="10" t="s">
        <v>83</v>
      </c>
      <c r="O175" s="10"/>
      <c r="P175" s="8" t="str">
        <f aca="false">MID(IF(L175="","","; APP:"&amp;L175)&amp;IF(M175="","","; PS1:"&amp;M175)&amp;IF(N175="","","; AQP4:"&amp;N175)&amp;IF(O175="","","; CAG-EGFP:"&amp;O175),3,200)</f>
        <v>APP:-/-; PS1:-/-; AQP4:-</v>
      </c>
      <c r="Q175" s="8" t="s">
        <v>47</v>
      </c>
      <c r="R175" s="8" t="s">
        <v>88</v>
      </c>
      <c r="S175" s="8"/>
      <c r="T175" s="11" t="s">
        <v>384</v>
      </c>
    </row>
    <row r="176" customFormat="false" ht="17.15" hidden="false" customHeight="false" outlineLevel="0" collapsed="false">
      <c r="A176" s="7" t="s">
        <v>386</v>
      </c>
      <c r="B176" s="8" t="s">
        <v>129</v>
      </c>
      <c r="C176" s="8" t="n">
        <v>37</v>
      </c>
      <c r="D176" s="8" t="s">
        <v>46</v>
      </c>
      <c r="E176" s="9" t="n">
        <v>45414</v>
      </c>
      <c r="F176" s="8" t="n">
        <f aca="true">IF(E176="","",ROUND((TODAY()-E176)/7,1))</f>
        <v>110.4</v>
      </c>
      <c r="G176" s="8" t="s">
        <v>38</v>
      </c>
      <c r="H176" s="8"/>
      <c r="I176" s="8" t="s">
        <v>341</v>
      </c>
      <c r="J176" s="8" t="s">
        <v>338</v>
      </c>
      <c r="K176" s="8" t="n">
        <v>2</v>
      </c>
      <c r="L176" s="10" t="s">
        <v>62</v>
      </c>
      <c r="M176" s="10" t="s">
        <v>62</v>
      </c>
      <c r="N176" s="10" t="s">
        <v>83</v>
      </c>
      <c r="O176" s="10"/>
      <c r="P176" s="8" t="str">
        <f aca="false">MID(IF(L176="","","; APP:"&amp;L176)&amp;IF(M176="","","; PS1:"&amp;M176)&amp;IF(N176="","","; AQP4:"&amp;N176)&amp;IF(O176="","","; CAG-EGFP:"&amp;O176),3,200)</f>
        <v>APP:-/-; PS1:-/-; AQP4:-</v>
      </c>
      <c r="Q176" s="8" t="s">
        <v>47</v>
      </c>
      <c r="R176" s="8" t="s">
        <v>88</v>
      </c>
      <c r="S176" s="8"/>
      <c r="T176" s="11" t="s">
        <v>384</v>
      </c>
    </row>
    <row r="177" customFormat="false" ht="17.15" hidden="false" customHeight="false" outlineLevel="0" collapsed="false">
      <c r="A177" s="7" t="s">
        <v>387</v>
      </c>
      <c r="B177" s="8" t="s">
        <v>129</v>
      </c>
      <c r="C177" s="8" t="n">
        <v>38</v>
      </c>
      <c r="D177" s="8" t="s">
        <v>46</v>
      </c>
      <c r="E177" s="9" t="n">
        <v>45414</v>
      </c>
      <c r="F177" s="8" t="n">
        <f aca="true">IF(E177="","",ROUND((TODAY()-E177)/7,1))</f>
        <v>110.4</v>
      </c>
      <c r="G177" s="8" t="s">
        <v>38</v>
      </c>
      <c r="H177" s="8"/>
      <c r="I177" s="8" t="s">
        <v>341</v>
      </c>
      <c r="J177" s="8" t="s">
        <v>338</v>
      </c>
      <c r="K177" s="8" t="n">
        <v>2</v>
      </c>
      <c r="L177" s="10" t="s">
        <v>62</v>
      </c>
      <c r="M177" s="10" t="s">
        <v>62</v>
      </c>
      <c r="N177" s="10" t="s">
        <v>83</v>
      </c>
      <c r="O177" s="10"/>
      <c r="P177" s="8" t="str">
        <f aca="false">MID(IF(L177="","","; APP:"&amp;L177)&amp;IF(M177="","","; PS1:"&amp;M177)&amp;IF(N177="","","; AQP4:"&amp;N177)&amp;IF(O177="","","; CAG-EGFP:"&amp;O177),3,200)</f>
        <v>APP:-/-; PS1:-/-; AQP4:-</v>
      </c>
      <c r="Q177" s="8" t="s">
        <v>47</v>
      </c>
      <c r="R177" s="8" t="s">
        <v>88</v>
      </c>
      <c r="S177" s="8"/>
      <c r="T177" s="8" t="s">
        <v>284</v>
      </c>
    </row>
    <row r="178" customFormat="false" ht="17.15" hidden="false" customHeight="false" outlineLevel="0" collapsed="false">
      <c r="A178" s="7" t="s">
        <v>388</v>
      </c>
      <c r="B178" s="8" t="s">
        <v>129</v>
      </c>
      <c r="C178" s="8" t="n">
        <v>39</v>
      </c>
      <c r="D178" s="8" t="s">
        <v>46</v>
      </c>
      <c r="E178" s="9" t="n">
        <v>45414</v>
      </c>
      <c r="F178" s="8" t="n">
        <f aca="true">IF(E178="","",ROUND((TODAY()-E178)/7,1))</f>
        <v>110.4</v>
      </c>
      <c r="G178" s="8" t="s">
        <v>38</v>
      </c>
      <c r="H178" s="8"/>
      <c r="I178" s="8" t="s">
        <v>341</v>
      </c>
      <c r="J178" s="8" t="s">
        <v>338</v>
      </c>
      <c r="K178" s="8" t="n">
        <v>2</v>
      </c>
      <c r="L178" s="10" t="s">
        <v>48</v>
      </c>
      <c r="M178" s="10" t="s">
        <v>48</v>
      </c>
      <c r="N178" s="10" t="s">
        <v>83</v>
      </c>
      <c r="O178" s="10"/>
      <c r="P178" s="8" t="str">
        <f aca="false">MID(IF(L178="","","; APP:"&amp;L178)&amp;IF(M178="","","; PS1:"&amp;M178)&amp;IF(N178="","","; AQP4:"&amp;N178)&amp;IF(O178="","","; CAG-EGFP:"&amp;O178),3,200)</f>
        <v>APP:+/-; PS1:+/-; AQP4:-</v>
      </c>
      <c r="Q178" s="8" t="s">
        <v>47</v>
      </c>
      <c r="R178" s="8" t="s">
        <v>88</v>
      </c>
      <c r="S178" s="8"/>
      <c r="T178" s="11" t="s">
        <v>384</v>
      </c>
    </row>
    <row r="179" customFormat="false" ht="15" hidden="false" customHeight="false" outlineLevel="0" collapsed="false">
      <c r="A179" s="7" t="s">
        <v>389</v>
      </c>
      <c r="B179" s="8" t="s">
        <v>129</v>
      </c>
      <c r="C179" s="8" t="n">
        <v>40</v>
      </c>
      <c r="D179" s="8" t="s">
        <v>33</v>
      </c>
      <c r="E179" s="9" t="n">
        <v>45452</v>
      </c>
      <c r="F179" s="8" t="n">
        <f aca="true">IF(E179="","",ROUND((TODAY()-E179)/7,1))</f>
        <v>105</v>
      </c>
      <c r="G179" s="8" t="s">
        <v>38</v>
      </c>
      <c r="H179" s="8"/>
      <c r="I179" s="8" t="s">
        <v>337</v>
      </c>
      <c r="J179" s="8" t="s">
        <v>337</v>
      </c>
      <c r="K179" s="8" t="n">
        <v>3</v>
      </c>
      <c r="L179" s="10" t="s">
        <v>62</v>
      </c>
      <c r="M179" s="10" t="s">
        <v>62</v>
      </c>
      <c r="N179" s="10" t="s">
        <v>83</v>
      </c>
      <c r="O179" s="10"/>
      <c r="P179" s="8" t="str">
        <f aca="false">MID(IF(L179="","","; APP:"&amp;L179)&amp;IF(M179="","","; PS1:"&amp;M179)&amp;IF(N179="","","; AQP4:"&amp;N179)&amp;IF(O179="","","; CAG-EGFP:"&amp;O179),3,200)</f>
        <v>APP:-/-; PS1:-/-; AQP4:-</v>
      </c>
      <c r="Q179" s="8" t="s">
        <v>47</v>
      </c>
      <c r="R179" s="8" t="s">
        <v>88</v>
      </c>
      <c r="S179" s="8"/>
      <c r="T179" s="8" t="s">
        <v>151</v>
      </c>
    </row>
    <row r="180" customFormat="false" ht="17.15" hidden="false" customHeight="false" outlineLevel="0" collapsed="false">
      <c r="A180" s="7" t="s">
        <v>390</v>
      </c>
      <c r="B180" s="8" t="s">
        <v>129</v>
      </c>
      <c r="C180" s="8" t="n">
        <v>41</v>
      </c>
      <c r="D180" s="8" t="s">
        <v>33</v>
      </c>
      <c r="E180" s="9" t="n">
        <v>45452</v>
      </c>
      <c r="F180" s="8" t="n">
        <f aca="true">IF(E180="","",ROUND((TODAY()-E180)/7,1))</f>
        <v>105</v>
      </c>
      <c r="G180" s="8" t="s">
        <v>38</v>
      </c>
      <c r="H180" s="8"/>
      <c r="I180" s="8" t="s">
        <v>337</v>
      </c>
      <c r="J180" s="8" t="s">
        <v>337</v>
      </c>
      <c r="K180" s="8" t="n">
        <v>3</v>
      </c>
      <c r="L180" s="10" t="s">
        <v>62</v>
      </c>
      <c r="M180" s="10" t="s">
        <v>62</v>
      </c>
      <c r="N180" s="10" t="s">
        <v>83</v>
      </c>
      <c r="O180" s="10"/>
      <c r="P180" s="8" t="str">
        <f aca="false">MID(IF(L180="","","; APP:"&amp;L180)&amp;IF(M180="","","; PS1:"&amp;M180)&amp;IF(N180="","","; AQP4:"&amp;N180)&amp;IF(O180="","","; CAG-EGFP:"&amp;O180),3,200)</f>
        <v>APP:-/-; PS1:-/-; AQP4:-</v>
      </c>
      <c r="Q180" s="8" t="s">
        <v>47</v>
      </c>
      <c r="R180" s="8" t="s">
        <v>88</v>
      </c>
      <c r="S180" s="8"/>
      <c r="T180" s="11" t="s">
        <v>384</v>
      </c>
    </row>
    <row r="181" customFormat="false" ht="17.15" hidden="false" customHeight="false" outlineLevel="0" collapsed="false">
      <c r="A181" s="7" t="s">
        <v>391</v>
      </c>
      <c r="B181" s="8" t="s">
        <v>129</v>
      </c>
      <c r="C181" s="8" t="n">
        <v>42</v>
      </c>
      <c r="D181" s="8" t="s">
        <v>33</v>
      </c>
      <c r="E181" s="9" t="n">
        <v>45452</v>
      </c>
      <c r="F181" s="8" t="n">
        <f aca="true">IF(E181="","",ROUND((TODAY()-E181)/7,1))</f>
        <v>105</v>
      </c>
      <c r="G181" s="8" t="s">
        <v>38</v>
      </c>
      <c r="H181" s="8"/>
      <c r="I181" s="8" t="s">
        <v>337</v>
      </c>
      <c r="J181" s="8" t="s">
        <v>337</v>
      </c>
      <c r="K181" s="8" t="n">
        <v>3</v>
      </c>
      <c r="L181" s="10" t="s">
        <v>62</v>
      </c>
      <c r="M181" s="10" t="s">
        <v>62</v>
      </c>
      <c r="N181" s="10" t="s">
        <v>83</v>
      </c>
      <c r="O181" s="10"/>
      <c r="P181" s="8" t="str">
        <f aca="false">MID(IF(L181="","","; APP:"&amp;L181)&amp;IF(M181="","","; PS1:"&amp;M181)&amp;IF(N181="","","; AQP4:"&amp;N181)&amp;IF(O181="","","; CAG-EGFP:"&amp;O181),3,200)</f>
        <v>APP:-/-; PS1:-/-; AQP4:-</v>
      </c>
      <c r="Q181" s="8" t="s">
        <v>47</v>
      </c>
      <c r="R181" s="8" t="s">
        <v>88</v>
      </c>
      <c r="S181" s="8"/>
      <c r="T181" s="11" t="s">
        <v>384</v>
      </c>
    </row>
    <row r="182" customFormat="false" ht="17.15" hidden="false" customHeight="false" outlineLevel="0" collapsed="false">
      <c r="A182" s="7" t="s">
        <v>392</v>
      </c>
      <c r="B182" s="8" t="s">
        <v>129</v>
      </c>
      <c r="C182" s="8" t="n">
        <v>43</v>
      </c>
      <c r="D182" s="8" t="s">
        <v>33</v>
      </c>
      <c r="E182" s="9" t="n">
        <v>45452</v>
      </c>
      <c r="F182" s="8" t="n">
        <f aca="true">IF(E182="","",ROUND((TODAY()-E182)/7,1))</f>
        <v>105</v>
      </c>
      <c r="G182" s="8" t="s">
        <v>38</v>
      </c>
      <c r="H182" s="8"/>
      <c r="I182" s="8" t="s">
        <v>337</v>
      </c>
      <c r="J182" s="8" t="s">
        <v>337</v>
      </c>
      <c r="K182" s="8" t="n">
        <v>3</v>
      </c>
      <c r="L182" s="10" t="s">
        <v>62</v>
      </c>
      <c r="M182" s="10" t="s">
        <v>62</v>
      </c>
      <c r="N182" s="10" t="s">
        <v>83</v>
      </c>
      <c r="O182" s="10"/>
      <c r="P182" s="8" t="str">
        <f aca="false">MID(IF(L182="","","; APP:"&amp;L182)&amp;IF(M182="","","; PS1:"&amp;M182)&amp;IF(N182="","","; AQP4:"&amp;N182)&amp;IF(O182="","","; CAG-EGFP:"&amp;O182),3,200)</f>
        <v>APP:-/-; PS1:-/-; AQP4:-</v>
      </c>
      <c r="Q182" s="8" t="s">
        <v>47</v>
      </c>
      <c r="R182" s="8" t="s">
        <v>88</v>
      </c>
      <c r="S182" s="8"/>
      <c r="T182" s="8" t="s">
        <v>284</v>
      </c>
    </row>
    <row r="183" customFormat="false" ht="17.15" hidden="false" customHeight="false" outlineLevel="0" collapsed="false">
      <c r="A183" s="7" t="s">
        <v>393</v>
      </c>
      <c r="B183" s="8" t="s">
        <v>129</v>
      </c>
      <c r="C183" s="8" t="n">
        <v>44</v>
      </c>
      <c r="D183" s="8" t="s">
        <v>33</v>
      </c>
      <c r="E183" s="9" t="n">
        <v>45452</v>
      </c>
      <c r="F183" s="8" t="n">
        <f aca="true">IF(E183="","",ROUND((TODAY()-E183)/7,1))</f>
        <v>105</v>
      </c>
      <c r="G183" s="8" t="s">
        <v>38</v>
      </c>
      <c r="H183" s="8"/>
      <c r="I183" s="8" t="s">
        <v>337</v>
      </c>
      <c r="J183" s="8" t="s">
        <v>337</v>
      </c>
      <c r="K183" s="8" t="n">
        <v>3</v>
      </c>
      <c r="L183" s="10" t="s">
        <v>62</v>
      </c>
      <c r="M183" s="10" t="s">
        <v>62</v>
      </c>
      <c r="N183" s="10" t="s">
        <v>83</v>
      </c>
      <c r="O183" s="10"/>
      <c r="P183" s="8" t="str">
        <f aca="false">MID(IF(L183="","","; APP:"&amp;L183)&amp;IF(M183="","","; PS1:"&amp;M183)&amp;IF(N183="","","; AQP4:"&amp;N183)&amp;IF(O183="","","; CAG-EGFP:"&amp;O183),3,200)</f>
        <v>APP:-/-; PS1:-/-; AQP4:-</v>
      </c>
      <c r="Q183" s="8" t="s">
        <v>47</v>
      </c>
      <c r="R183" s="8" t="s">
        <v>88</v>
      </c>
      <c r="S183" s="8"/>
      <c r="T183" s="8" t="s">
        <v>284</v>
      </c>
    </row>
    <row r="184" customFormat="false" ht="17.15" hidden="false" customHeight="false" outlineLevel="0" collapsed="false">
      <c r="A184" s="7" t="s">
        <v>394</v>
      </c>
      <c r="B184" s="8" t="s">
        <v>129</v>
      </c>
      <c r="C184" s="8" t="n">
        <v>45</v>
      </c>
      <c r="D184" s="8" t="s">
        <v>46</v>
      </c>
      <c r="E184" s="9" t="n">
        <v>45452</v>
      </c>
      <c r="F184" s="8" t="n">
        <f aca="true">IF(E184="","",ROUND((TODAY()-E184)/7,1))</f>
        <v>105</v>
      </c>
      <c r="G184" s="8" t="s">
        <v>38</v>
      </c>
      <c r="H184" s="8"/>
      <c r="I184" s="8" t="s">
        <v>337</v>
      </c>
      <c r="J184" s="8" t="s">
        <v>337</v>
      </c>
      <c r="K184" s="8" t="n">
        <v>3</v>
      </c>
      <c r="L184" s="10" t="s">
        <v>62</v>
      </c>
      <c r="M184" s="10" t="s">
        <v>62</v>
      </c>
      <c r="N184" s="10" t="s">
        <v>83</v>
      </c>
      <c r="O184" s="10"/>
      <c r="P184" s="8" t="str">
        <f aca="false">MID(IF(L184="","","; APP:"&amp;L184)&amp;IF(M184="","","; PS1:"&amp;M184)&amp;IF(N184="","","; AQP4:"&amp;N184)&amp;IF(O184="","","; CAG-EGFP:"&amp;O184),3,200)</f>
        <v>APP:-/-; PS1:-/-; AQP4:-</v>
      </c>
      <c r="Q184" s="8" t="s">
        <v>47</v>
      </c>
      <c r="R184" s="8" t="s">
        <v>88</v>
      </c>
      <c r="S184" s="8"/>
      <c r="T184" s="11" t="s">
        <v>395</v>
      </c>
    </row>
    <row r="185" customFormat="false" ht="17.15" hidden="false" customHeight="false" outlineLevel="0" collapsed="false">
      <c r="A185" s="7" t="s">
        <v>396</v>
      </c>
      <c r="B185" s="8" t="s">
        <v>129</v>
      </c>
      <c r="C185" s="8" t="n">
        <v>46</v>
      </c>
      <c r="D185" s="8" t="s">
        <v>46</v>
      </c>
      <c r="E185" s="9" t="n">
        <v>45452</v>
      </c>
      <c r="F185" s="8" t="n">
        <f aca="true">IF(E185="","",ROUND((TODAY()-E185)/7,1))</f>
        <v>105</v>
      </c>
      <c r="G185" s="8" t="s">
        <v>38</v>
      </c>
      <c r="H185" s="8"/>
      <c r="I185" s="8" t="s">
        <v>337</v>
      </c>
      <c r="J185" s="8" t="s">
        <v>337</v>
      </c>
      <c r="K185" s="8" t="n">
        <v>3</v>
      </c>
      <c r="L185" s="10" t="s">
        <v>48</v>
      </c>
      <c r="M185" s="10" t="s">
        <v>48</v>
      </c>
      <c r="N185" s="10" t="s">
        <v>83</v>
      </c>
      <c r="O185" s="10"/>
      <c r="P185" s="8" t="str">
        <f aca="false">MID(IF(L185="","","; APP:"&amp;L185)&amp;IF(M185="","","; PS1:"&amp;M185)&amp;IF(N185="","","; AQP4:"&amp;N185)&amp;IF(O185="","","; CAG-EGFP:"&amp;O185),3,200)</f>
        <v>APP:+/-; PS1:+/-; AQP4:-</v>
      </c>
      <c r="Q185" s="8" t="s">
        <v>47</v>
      </c>
      <c r="R185" s="8" t="s">
        <v>88</v>
      </c>
      <c r="S185" s="8"/>
      <c r="T185" s="11" t="s">
        <v>397</v>
      </c>
    </row>
    <row r="186" customFormat="false" ht="15" hidden="false" customHeight="false" outlineLevel="0" collapsed="false">
      <c r="A186" s="7" t="s">
        <v>398</v>
      </c>
      <c r="B186" s="8" t="s">
        <v>129</v>
      </c>
      <c r="C186" s="8" t="n">
        <v>47</v>
      </c>
      <c r="D186" s="8" t="s">
        <v>46</v>
      </c>
      <c r="E186" s="9" t="n">
        <v>45452</v>
      </c>
      <c r="F186" s="8" t="n">
        <f aca="true">IF(E186="","",ROUND((TODAY()-E186)/7,1))</f>
        <v>105</v>
      </c>
      <c r="G186" s="8" t="s">
        <v>38</v>
      </c>
      <c r="H186" s="8"/>
      <c r="I186" s="8" t="s">
        <v>337</v>
      </c>
      <c r="J186" s="8" t="s">
        <v>337</v>
      </c>
      <c r="K186" s="8" t="n">
        <v>3</v>
      </c>
      <c r="L186" s="10" t="s">
        <v>62</v>
      </c>
      <c r="M186" s="10" t="s">
        <v>62</v>
      </c>
      <c r="N186" s="10" t="s">
        <v>83</v>
      </c>
      <c r="O186" s="10"/>
      <c r="P186" s="8" t="str">
        <f aca="false">MID(IF(L186="","","; APP:"&amp;L186)&amp;IF(M186="","","; PS1:"&amp;M186)&amp;IF(N186="","","; AQP4:"&amp;N186)&amp;IF(O186="","","; CAG-EGFP:"&amp;O186),3,200)</f>
        <v>APP:-/-; PS1:-/-; AQP4:-</v>
      </c>
      <c r="Q186" s="8" t="s">
        <v>47</v>
      </c>
      <c r="R186" s="8" t="s">
        <v>88</v>
      </c>
      <c r="S186" s="8"/>
      <c r="T186" s="8" t="s">
        <v>151</v>
      </c>
    </row>
    <row r="187" customFormat="false" ht="17.15" hidden="false" customHeight="false" outlineLevel="0" collapsed="false">
      <c r="A187" s="7" t="s">
        <v>399</v>
      </c>
      <c r="B187" s="8" t="s">
        <v>129</v>
      </c>
      <c r="C187" s="8" t="n">
        <v>48</v>
      </c>
      <c r="D187" s="8" t="s">
        <v>46</v>
      </c>
      <c r="E187" s="9" t="n">
        <v>45452</v>
      </c>
      <c r="F187" s="8" t="n">
        <f aca="true">IF(E187="","",ROUND((TODAY()-E187)/7,1))</f>
        <v>105</v>
      </c>
      <c r="G187" s="8" t="s">
        <v>38</v>
      </c>
      <c r="H187" s="8"/>
      <c r="I187" s="8" t="s">
        <v>337</v>
      </c>
      <c r="J187" s="8" t="s">
        <v>337</v>
      </c>
      <c r="K187" s="8" t="n">
        <v>3</v>
      </c>
      <c r="L187" s="10" t="s">
        <v>48</v>
      </c>
      <c r="M187" s="10" t="s">
        <v>48</v>
      </c>
      <c r="N187" s="10" t="s">
        <v>83</v>
      </c>
      <c r="O187" s="10"/>
      <c r="P187" s="8" t="str">
        <f aca="false">MID(IF(L187="","","; APP:"&amp;L187)&amp;IF(M187="","","; PS1:"&amp;M187)&amp;IF(N187="","","; AQP4:"&amp;N187)&amp;IF(O187="","","; CAG-EGFP:"&amp;O187),3,200)</f>
        <v>APP:+/-; PS1:+/-; AQP4:-</v>
      </c>
      <c r="Q187" s="8" t="s">
        <v>47</v>
      </c>
      <c r="R187" s="8" t="s">
        <v>88</v>
      </c>
      <c r="S187" s="8"/>
      <c r="T187" s="11" t="s">
        <v>384</v>
      </c>
    </row>
    <row r="188" customFormat="false" ht="17.15" hidden="false" customHeight="false" outlineLevel="0" collapsed="false">
      <c r="A188" s="7" t="s">
        <v>400</v>
      </c>
      <c r="B188" s="8" t="s">
        <v>129</v>
      </c>
      <c r="C188" s="8" t="n">
        <v>49</v>
      </c>
      <c r="D188" s="8" t="s">
        <v>46</v>
      </c>
      <c r="E188" s="9" t="n">
        <v>45452</v>
      </c>
      <c r="F188" s="8" t="n">
        <f aca="true">IF(E188="","",ROUND((TODAY()-E188)/7,1))</f>
        <v>105</v>
      </c>
      <c r="G188" s="8" t="s">
        <v>38</v>
      </c>
      <c r="H188" s="8"/>
      <c r="I188" s="8" t="s">
        <v>337</v>
      </c>
      <c r="J188" s="8" t="s">
        <v>337</v>
      </c>
      <c r="K188" s="8" t="n">
        <v>3</v>
      </c>
      <c r="L188" s="10" t="s">
        <v>48</v>
      </c>
      <c r="M188" s="10" t="s">
        <v>48</v>
      </c>
      <c r="N188" s="10" t="s">
        <v>83</v>
      </c>
      <c r="O188" s="10"/>
      <c r="P188" s="8" t="str">
        <f aca="false">MID(IF(L188="","","; APP:"&amp;L188)&amp;IF(M188="","","; PS1:"&amp;M188)&amp;IF(N188="","","; AQP4:"&amp;N188)&amp;IF(O188="","","; CAG-EGFP:"&amp;O188),3,200)</f>
        <v>APP:+/-; PS1:+/-; AQP4:-</v>
      </c>
      <c r="Q188" s="8" t="s">
        <v>47</v>
      </c>
      <c r="R188" s="8" t="s">
        <v>88</v>
      </c>
      <c r="S188" s="8"/>
      <c r="T188" s="11" t="s">
        <v>397</v>
      </c>
    </row>
    <row r="189" customFormat="false" ht="17.15" hidden="false" customHeight="false" outlineLevel="0" collapsed="false">
      <c r="A189" s="7" t="s">
        <v>401</v>
      </c>
      <c r="B189" s="8" t="s">
        <v>129</v>
      </c>
      <c r="C189" s="8" t="n">
        <v>50</v>
      </c>
      <c r="D189" s="8" t="s">
        <v>33</v>
      </c>
      <c r="E189" s="9" t="n">
        <v>45460</v>
      </c>
      <c r="F189" s="8" t="n">
        <f aca="true">IF(E189="","",ROUND((TODAY()-E189)/7,1))</f>
        <v>103.9</v>
      </c>
      <c r="G189" s="8" t="s">
        <v>38</v>
      </c>
      <c r="H189" s="8"/>
      <c r="I189" s="8" t="s">
        <v>337</v>
      </c>
      <c r="J189" s="8" t="s">
        <v>337</v>
      </c>
      <c r="K189" s="8" t="n">
        <v>3</v>
      </c>
      <c r="L189" s="10" t="s">
        <v>62</v>
      </c>
      <c r="M189" s="10" t="s">
        <v>62</v>
      </c>
      <c r="N189" s="10" t="s">
        <v>83</v>
      </c>
      <c r="O189" s="10"/>
      <c r="P189" s="8" t="str">
        <f aca="false">MID(IF(L189="","","; APP:"&amp;L189)&amp;IF(M189="","","; PS1:"&amp;M189)&amp;IF(N189="","","; AQP4:"&amp;N189)&amp;IF(O189="","","; CAG-EGFP:"&amp;O189),3,200)</f>
        <v>APP:-/-; PS1:-/-; AQP4:-</v>
      </c>
      <c r="Q189" s="8" t="s">
        <v>47</v>
      </c>
      <c r="R189" s="8" t="s">
        <v>88</v>
      </c>
      <c r="S189" s="8"/>
      <c r="T189" s="8" t="s">
        <v>284</v>
      </c>
    </row>
    <row r="190" customFormat="false" ht="15" hidden="false" customHeight="false" outlineLevel="0" collapsed="false">
      <c r="A190" s="7" t="s">
        <v>402</v>
      </c>
      <c r="B190" s="8" t="s">
        <v>129</v>
      </c>
      <c r="C190" s="8" t="n">
        <v>51</v>
      </c>
      <c r="D190" s="8" t="s">
        <v>33</v>
      </c>
      <c r="E190" s="9" t="n">
        <v>45460</v>
      </c>
      <c r="F190" s="8" t="n">
        <f aca="true">IF(E190="","",ROUND((TODAY()-E190)/7,1))</f>
        <v>103.9</v>
      </c>
      <c r="G190" s="8" t="s">
        <v>38</v>
      </c>
      <c r="H190" s="8"/>
      <c r="I190" s="8" t="s">
        <v>337</v>
      </c>
      <c r="J190" s="8" t="s">
        <v>337</v>
      </c>
      <c r="K190" s="8" t="n">
        <v>3</v>
      </c>
      <c r="L190" s="10" t="s">
        <v>48</v>
      </c>
      <c r="M190" s="10" t="s">
        <v>48</v>
      </c>
      <c r="N190" s="10" t="s">
        <v>83</v>
      </c>
      <c r="O190" s="10"/>
      <c r="P190" s="8" t="str">
        <f aca="false">MID(IF(L190="","","; APP:"&amp;L190)&amp;IF(M190="","","; PS1:"&amp;M190)&amp;IF(N190="","","; AQP4:"&amp;N190)&amp;IF(O190="","","; CAG-EGFP:"&amp;O190),3,200)</f>
        <v>APP:+/-; PS1:+/-; AQP4:-</v>
      </c>
      <c r="Q190" s="8" t="s">
        <v>47</v>
      </c>
      <c r="R190" s="8" t="s">
        <v>88</v>
      </c>
      <c r="S190" s="8"/>
      <c r="T190" s="8" t="s">
        <v>151</v>
      </c>
    </row>
    <row r="191" customFormat="false" ht="15" hidden="false" customHeight="false" outlineLevel="0" collapsed="false">
      <c r="A191" s="7" t="s">
        <v>403</v>
      </c>
      <c r="B191" s="8" t="s">
        <v>129</v>
      </c>
      <c r="C191" s="8" t="n">
        <v>52</v>
      </c>
      <c r="D191" s="8" t="s">
        <v>33</v>
      </c>
      <c r="E191" s="9" t="n">
        <v>45460</v>
      </c>
      <c r="F191" s="8" t="n">
        <f aca="true">IF(E191="","",ROUND((TODAY()-E191)/7,1))</f>
        <v>103.9</v>
      </c>
      <c r="G191" s="8" t="s">
        <v>38</v>
      </c>
      <c r="H191" s="8"/>
      <c r="I191" s="8" t="s">
        <v>337</v>
      </c>
      <c r="J191" s="8" t="s">
        <v>337</v>
      </c>
      <c r="K191" s="8" t="n">
        <v>3</v>
      </c>
      <c r="L191" s="10" t="s">
        <v>48</v>
      </c>
      <c r="M191" s="10" t="s">
        <v>48</v>
      </c>
      <c r="N191" s="10" t="s">
        <v>83</v>
      </c>
      <c r="O191" s="10"/>
      <c r="P191" s="8" t="str">
        <f aca="false">MID(IF(L191="","","; APP:"&amp;L191)&amp;IF(M191="","","; PS1:"&amp;M191)&amp;IF(N191="","","; AQP4:"&amp;N191)&amp;IF(O191="","","; CAG-EGFP:"&amp;O191),3,200)</f>
        <v>APP:+/-; PS1:+/-; AQP4:-</v>
      </c>
      <c r="Q191" s="8" t="s">
        <v>47</v>
      </c>
      <c r="R191" s="8" t="s">
        <v>88</v>
      </c>
      <c r="S191" s="8"/>
      <c r="T191" s="8" t="s">
        <v>151</v>
      </c>
    </row>
    <row r="192" customFormat="false" ht="15" hidden="false" customHeight="false" outlineLevel="0" collapsed="false">
      <c r="A192" s="7" t="s">
        <v>404</v>
      </c>
      <c r="B192" s="8" t="s">
        <v>129</v>
      </c>
      <c r="C192" s="8" t="n">
        <v>53</v>
      </c>
      <c r="D192" s="8" t="s">
        <v>33</v>
      </c>
      <c r="E192" s="9" t="n">
        <v>45460</v>
      </c>
      <c r="F192" s="8" t="n">
        <f aca="true">IF(E192="","",ROUND((TODAY()-E192)/7,1))</f>
        <v>103.9</v>
      </c>
      <c r="G192" s="8" t="s">
        <v>38</v>
      </c>
      <c r="H192" s="8"/>
      <c r="I192" s="8" t="s">
        <v>337</v>
      </c>
      <c r="J192" s="8" t="s">
        <v>337</v>
      </c>
      <c r="K192" s="8" t="n">
        <v>3</v>
      </c>
      <c r="L192" s="10" t="s">
        <v>48</v>
      </c>
      <c r="M192" s="10" t="s">
        <v>48</v>
      </c>
      <c r="N192" s="10" t="s">
        <v>83</v>
      </c>
      <c r="O192" s="10"/>
      <c r="P192" s="8" t="str">
        <f aca="false">MID(IF(L192="","","; APP:"&amp;L192)&amp;IF(M192="","","; PS1:"&amp;M192)&amp;IF(N192="","","; AQP4:"&amp;N192)&amp;IF(O192="","","; CAG-EGFP:"&amp;O192),3,200)</f>
        <v>APP:+/-; PS1:+/-; AQP4:-</v>
      </c>
      <c r="Q192" s="8" t="s">
        <v>47</v>
      </c>
      <c r="R192" s="8" t="s">
        <v>88</v>
      </c>
      <c r="S192" s="8"/>
      <c r="T192" s="8" t="s">
        <v>151</v>
      </c>
    </row>
    <row r="193" customFormat="false" ht="15" hidden="false" customHeight="false" outlineLevel="0" collapsed="false">
      <c r="A193" s="7" t="s">
        <v>405</v>
      </c>
      <c r="B193" s="8" t="s">
        <v>129</v>
      </c>
      <c r="C193" s="8" t="n">
        <v>54</v>
      </c>
      <c r="D193" s="8" t="s">
        <v>33</v>
      </c>
      <c r="E193" s="9" t="n">
        <v>45460</v>
      </c>
      <c r="F193" s="8" t="n">
        <f aca="true">IF(E193="","",ROUND((TODAY()-E193)/7,1))</f>
        <v>103.9</v>
      </c>
      <c r="G193" s="8" t="s">
        <v>38</v>
      </c>
      <c r="H193" s="8"/>
      <c r="I193" s="8" t="s">
        <v>337</v>
      </c>
      <c r="J193" s="8" t="s">
        <v>337</v>
      </c>
      <c r="K193" s="8" t="n">
        <v>3</v>
      </c>
      <c r="L193" s="10" t="s">
        <v>48</v>
      </c>
      <c r="M193" s="10" t="s">
        <v>48</v>
      </c>
      <c r="N193" s="10" t="s">
        <v>83</v>
      </c>
      <c r="O193" s="10"/>
      <c r="P193" s="8" t="str">
        <f aca="false">MID(IF(L193="","","; APP:"&amp;L193)&amp;IF(M193="","","; PS1:"&amp;M193)&amp;IF(N193="","","; AQP4:"&amp;N193)&amp;IF(O193="","","; CAG-EGFP:"&amp;O193),3,200)</f>
        <v>APP:+/-; PS1:+/-; AQP4:-</v>
      </c>
      <c r="Q193" s="8" t="s">
        <v>47</v>
      </c>
      <c r="R193" s="8" t="s">
        <v>88</v>
      </c>
      <c r="S193" s="8"/>
      <c r="T193" s="8" t="s">
        <v>151</v>
      </c>
    </row>
    <row r="194" customFormat="false" ht="15" hidden="false" customHeight="false" outlineLevel="0" collapsed="false">
      <c r="A194" s="7" t="s">
        <v>406</v>
      </c>
      <c r="B194" s="8" t="s">
        <v>129</v>
      </c>
      <c r="C194" s="8" t="n">
        <v>55</v>
      </c>
      <c r="D194" s="8" t="s">
        <v>46</v>
      </c>
      <c r="E194" s="9" t="n">
        <v>45460</v>
      </c>
      <c r="F194" s="8" t="n">
        <f aca="true">IF(E194="","",ROUND((TODAY()-E194)/7,1))</f>
        <v>103.9</v>
      </c>
      <c r="G194" s="8" t="s">
        <v>38</v>
      </c>
      <c r="H194" s="8"/>
      <c r="I194" s="8" t="s">
        <v>337</v>
      </c>
      <c r="J194" s="8" t="s">
        <v>337</v>
      </c>
      <c r="K194" s="8" t="n">
        <v>3</v>
      </c>
      <c r="L194" s="10" t="s">
        <v>62</v>
      </c>
      <c r="M194" s="10" t="s">
        <v>62</v>
      </c>
      <c r="N194" s="10" t="s">
        <v>83</v>
      </c>
      <c r="O194" s="10"/>
      <c r="P194" s="8" t="str">
        <f aca="false">MID(IF(L194="","","; APP:"&amp;L194)&amp;IF(M194="","","; PS1:"&amp;M194)&amp;IF(N194="","","; AQP4:"&amp;N194)&amp;IF(O194="","","; CAG-EGFP:"&amp;O194),3,200)</f>
        <v>APP:-/-; PS1:-/-; AQP4:-</v>
      </c>
      <c r="Q194" s="8" t="s">
        <v>47</v>
      </c>
      <c r="R194" s="8" t="s">
        <v>88</v>
      </c>
      <c r="S194" s="8"/>
      <c r="T194" s="8" t="s">
        <v>151</v>
      </c>
    </row>
    <row r="195" customFormat="false" ht="17.15" hidden="false" customHeight="false" outlineLevel="0" collapsed="false">
      <c r="A195" s="7" t="s">
        <v>407</v>
      </c>
      <c r="B195" s="8" t="s">
        <v>129</v>
      </c>
      <c r="C195" s="8" t="n">
        <v>56</v>
      </c>
      <c r="D195" s="8" t="s">
        <v>46</v>
      </c>
      <c r="E195" s="9" t="n">
        <v>45460</v>
      </c>
      <c r="F195" s="8" t="n">
        <f aca="true">IF(E195="","",ROUND((TODAY()-E195)/7,1))</f>
        <v>103.9</v>
      </c>
      <c r="G195" s="8" t="s">
        <v>38</v>
      </c>
      <c r="H195" s="8"/>
      <c r="I195" s="8" t="s">
        <v>337</v>
      </c>
      <c r="J195" s="8" t="s">
        <v>337</v>
      </c>
      <c r="K195" s="8" t="n">
        <v>3</v>
      </c>
      <c r="L195" s="10" t="s">
        <v>62</v>
      </c>
      <c r="M195" s="10" t="s">
        <v>62</v>
      </c>
      <c r="N195" s="10" t="s">
        <v>83</v>
      </c>
      <c r="O195" s="10"/>
      <c r="P195" s="8" t="str">
        <f aca="false">MID(IF(L195="","","; APP:"&amp;L195)&amp;IF(M195="","","; PS1:"&amp;M195)&amp;IF(N195="","","; AQP4:"&amp;N195)&amp;IF(O195="","","; CAG-EGFP:"&amp;O195),3,200)</f>
        <v>APP:-/-; PS1:-/-; AQP4:-</v>
      </c>
      <c r="Q195" s="8" t="s">
        <v>47</v>
      </c>
      <c r="R195" s="8" t="s">
        <v>88</v>
      </c>
      <c r="S195" s="8"/>
      <c r="T195" s="8" t="s">
        <v>284</v>
      </c>
    </row>
    <row r="196" customFormat="false" ht="15" hidden="false" customHeight="false" outlineLevel="0" collapsed="false">
      <c r="A196" s="7" t="s">
        <v>408</v>
      </c>
      <c r="B196" s="8" t="s">
        <v>129</v>
      </c>
      <c r="C196" s="8" t="n">
        <v>57</v>
      </c>
      <c r="D196" s="8" t="s">
        <v>46</v>
      </c>
      <c r="E196" s="9" t="n">
        <v>45460</v>
      </c>
      <c r="F196" s="8" t="n">
        <f aca="true">IF(E196="","",ROUND((TODAY()-E196)/7,1))</f>
        <v>103.9</v>
      </c>
      <c r="G196" s="8" t="s">
        <v>38</v>
      </c>
      <c r="H196" s="8"/>
      <c r="I196" s="8" t="s">
        <v>337</v>
      </c>
      <c r="J196" s="8" t="s">
        <v>337</v>
      </c>
      <c r="K196" s="8" t="n">
        <v>3</v>
      </c>
      <c r="L196" s="10" t="s">
        <v>48</v>
      </c>
      <c r="M196" s="10" t="s">
        <v>48</v>
      </c>
      <c r="N196" s="10" t="s">
        <v>83</v>
      </c>
      <c r="O196" s="10"/>
      <c r="P196" s="8" t="str">
        <f aca="false">MID(IF(L196="","","; APP:"&amp;L196)&amp;IF(M196="","","; PS1:"&amp;M196)&amp;IF(N196="","","; AQP4:"&amp;N196)&amp;IF(O196="","","; CAG-EGFP:"&amp;O196),3,200)</f>
        <v>APP:+/-; PS1:+/-; AQP4:-</v>
      </c>
      <c r="Q196" s="8" t="s">
        <v>47</v>
      </c>
      <c r="R196" s="8" t="s">
        <v>88</v>
      </c>
      <c r="S196" s="8"/>
      <c r="T196" s="8" t="s">
        <v>151</v>
      </c>
    </row>
    <row r="197" customFormat="false" ht="17.15" hidden="false" customHeight="false" outlineLevel="0" collapsed="false">
      <c r="A197" s="7" t="s">
        <v>409</v>
      </c>
      <c r="B197" s="8" t="s">
        <v>129</v>
      </c>
      <c r="C197" s="8" t="n">
        <v>58</v>
      </c>
      <c r="D197" s="8" t="s">
        <v>46</v>
      </c>
      <c r="E197" s="9" t="n">
        <v>45460</v>
      </c>
      <c r="F197" s="8" t="n">
        <f aca="true">IF(E197="","",ROUND((TODAY()-E197)/7,1))</f>
        <v>103.9</v>
      </c>
      <c r="G197" s="8" t="s">
        <v>38</v>
      </c>
      <c r="H197" s="8"/>
      <c r="I197" s="8" t="s">
        <v>337</v>
      </c>
      <c r="J197" s="8" t="s">
        <v>337</v>
      </c>
      <c r="K197" s="8" t="n">
        <v>3</v>
      </c>
      <c r="L197" s="10" t="s">
        <v>48</v>
      </c>
      <c r="M197" s="10" t="s">
        <v>48</v>
      </c>
      <c r="N197" s="10" t="s">
        <v>83</v>
      </c>
      <c r="O197" s="10"/>
      <c r="P197" s="8" t="str">
        <f aca="false">MID(IF(L197="","","; APP:"&amp;L197)&amp;IF(M197="","","; PS1:"&amp;M197)&amp;IF(N197="","","; AQP4:"&amp;N197)&amp;IF(O197="","","; CAG-EGFP:"&amp;O197),3,200)</f>
        <v>APP:+/-; PS1:+/-; AQP4:-</v>
      </c>
      <c r="Q197" s="8" t="s">
        <v>47</v>
      </c>
      <c r="R197" s="8" t="s">
        <v>88</v>
      </c>
      <c r="S197" s="8"/>
      <c r="T197" s="8" t="s">
        <v>410</v>
      </c>
    </row>
    <row r="198" customFormat="false" ht="17.15" hidden="false" customHeight="false" outlineLevel="0" collapsed="false">
      <c r="A198" s="7" t="s">
        <v>411</v>
      </c>
      <c r="B198" s="8" t="s">
        <v>129</v>
      </c>
      <c r="C198" s="8" t="n">
        <v>59</v>
      </c>
      <c r="D198" s="8" t="s">
        <v>46</v>
      </c>
      <c r="E198" s="9" t="n">
        <v>45460</v>
      </c>
      <c r="F198" s="8" t="n">
        <f aca="true">IF(E198="","",ROUND((TODAY()-E198)/7,1))</f>
        <v>103.9</v>
      </c>
      <c r="G198" s="8" t="s">
        <v>38</v>
      </c>
      <c r="H198" s="8"/>
      <c r="I198" s="8" t="s">
        <v>337</v>
      </c>
      <c r="J198" s="8" t="s">
        <v>337</v>
      </c>
      <c r="K198" s="8" t="n">
        <v>3</v>
      </c>
      <c r="L198" s="10" t="s">
        <v>48</v>
      </c>
      <c r="M198" s="10" t="s">
        <v>48</v>
      </c>
      <c r="N198" s="10" t="s">
        <v>83</v>
      </c>
      <c r="O198" s="10"/>
      <c r="P198" s="8" t="str">
        <f aca="false">MID(IF(L198="","","; APP:"&amp;L198)&amp;IF(M198="","","; PS1:"&amp;M198)&amp;IF(N198="","","; AQP4:"&amp;N198)&amp;IF(O198="","","; CAG-EGFP:"&amp;O198),3,200)</f>
        <v>APP:+/-; PS1:+/-; AQP4:-</v>
      </c>
      <c r="Q198" s="8" t="s">
        <v>47</v>
      </c>
      <c r="R198" s="8" t="s">
        <v>88</v>
      </c>
      <c r="S198" s="8"/>
      <c r="T198" s="8" t="s">
        <v>410</v>
      </c>
    </row>
    <row r="199" customFormat="false" ht="17.15" hidden="false" customHeight="false" outlineLevel="0" collapsed="false">
      <c r="A199" s="7" t="s">
        <v>412</v>
      </c>
      <c r="B199" s="8" t="s">
        <v>129</v>
      </c>
      <c r="C199" s="8" t="n">
        <v>60</v>
      </c>
      <c r="D199" s="8" t="s">
        <v>33</v>
      </c>
      <c r="E199" s="9" t="n">
        <v>45771</v>
      </c>
      <c r="F199" s="8" t="n">
        <f aca="true">IF(E199="","",ROUND((TODAY()-E199)/7,1))</f>
        <v>59.4</v>
      </c>
      <c r="G199" s="8" t="s">
        <v>38</v>
      </c>
      <c r="H199" s="8"/>
      <c r="I199" s="8" t="s">
        <v>413</v>
      </c>
      <c r="J199" s="8" t="s">
        <v>414</v>
      </c>
      <c r="K199" s="8" t="n">
        <v>4</v>
      </c>
      <c r="L199" s="10" t="s">
        <v>48</v>
      </c>
      <c r="M199" s="10" t="s">
        <v>48</v>
      </c>
      <c r="N199" s="10" t="s">
        <v>83</v>
      </c>
      <c r="O199" s="10"/>
      <c r="P199" s="8" t="str">
        <f aca="false">MID(IF(L199="","","; APP:"&amp;L199)&amp;IF(M199="","","; PS1:"&amp;M199)&amp;IF(N199="","","; AQP4:"&amp;N199)&amp;IF(O199="","","; CAG-EGFP:"&amp;O199),3,200)</f>
        <v>APP:+/-; PS1:+/-; AQP4:-</v>
      </c>
      <c r="Q199" s="8" t="s">
        <v>47</v>
      </c>
      <c r="R199" s="8" t="s">
        <v>14</v>
      </c>
      <c r="S199" s="8"/>
      <c r="T199" s="8" t="s">
        <v>151</v>
      </c>
    </row>
    <row r="200" customFormat="false" ht="17.15" hidden="false" customHeight="false" outlineLevel="0" collapsed="false">
      <c r="A200" s="7" t="s">
        <v>415</v>
      </c>
      <c r="B200" s="8" t="s">
        <v>129</v>
      </c>
      <c r="C200" s="8" t="n">
        <v>61</v>
      </c>
      <c r="D200" s="8" t="s">
        <v>33</v>
      </c>
      <c r="E200" s="9" t="n">
        <v>45771</v>
      </c>
      <c r="F200" s="8" t="n">
        <f aca="true">IF(E200="","",ROUND((TODAY()-E200)/7,1))</f>
        <v>59.4</v>
      </c>
      <c r="G200" s="8" t="s">
        <v>38</v>
      </c>
      <c r="H200" s="8"/>
      <c r="I200" s="8" t="s">
        <v>413</v>
      </c>
      <c r="J200" s="8" t="s">
        <v>414</v>
      </c>
      <c r="K200" s="8" t="n">
        <v>4</v>
      </c>
      <c r="L200" s="10" t="s">
        <v>62</v>
      </c>
      <c r="M200" s="10" t="s">
        <v>62</v>
      </c>
      <c r="N200" s="10" t="s">
        <v>83</v>
      </c>
      <c r="O200" s="10"/>
      <c r="P200" s="8" t="str">
        <f aca="false">MID(IF(L200="","","; APP:"&amp;L200)&amp;IF(M200="","","; PS1:"&amp;M200)&amp;IF(N200="","","; AQP4:"&amp;N200)&amp;IF(O200="","","; CAG-EGFP:"&amp;O200),3,200)</f>
        <v>APP:-/-; PS1:-/-; AQP4:-</v>
      </c>
      <c r="Q200" s="8" t="s">
        <v>47</v>
      </c>
      <c r="R200" s="8" t="s">
        <v>14</v>
      </c>
      <c r="S200" s="8"/>
      <c r="T200" s="8" t="s">
        <v>151</v>
      </c>
    </row>
    <row r="201" customFormat="false" ht="17.15" hidden="false" customHeight="false" outlineLevel="0" collapsed="false">
      <c r="A201" s="7" t="s">
        <v>416</v>
      </c>
      <c r="B201" s="8" t="s">
        <v>129</v>
      </c>
      <c r="C201" s="8" t="n">
        <v>62</v>
      </c>
      <c r="D201" s="8" t="s">
        <v>33</v>
      </c>
      <c r="E201" s="9" t="n">
        <v>45771</v>
      </c>
      <c r="F201" s="8" t="n">
        <f aca="true">IF(E201="","",ROUND((TODAY()-E201)/7,1))</f>
        <v>59.4</v>
      </c>
      <c r="G201" s="8" t="s">
        <v>38</v>
      </c>
      <c r="H201" s="8"/>
      <c r="I201" s="8" t="s">
        <v>413</v>
      </c>
      <c r="J201" s="8" t="s">
        <v>414</v>
      </c>
      <c r="K201" s="8" t="n">
        <v>4</v>
      </c>
      <c r="L201" s="10" t="s">
        <v>48</v>
      </c>
      <c r="M201" s="10" t="s">
        <v>48</v>
      </c>
      <c r="N201" s="10" t="s">
        <v>83</v>
      </c>
      <c r="O201" s="10"/>
      <c r="P201" s="8" t="str">
        <f aca="false">MID(IF(L201="","","; APP:"&amp;L201)&amp;IF(M201="","","; PS1:"&amp;M201)&amp;IF(N201="","","; AQP4:"&amp;N201)&amp;IF(O201="","","; CAG-EGFP:"&amp;O201),3,200)</f>
        <v>APP:+/-; PS1:+/-; AQP4:-</v>
      </c>
      <c r="Q201" s="8" t="s">
        <v>47</v>
      </c>
      <c r="R201" s="8" t="s">
        <v>14</v>
      </c>
      <c r="S201" s="8"/>
      <c r="T201" s="8" t="s">
        <v>151</v>
      </c>
    </row>
    <row r="202" customFormat="false" ht="17.15" hidden="false" customHeight="false" outlineLevel="0" collapsed="false">
      <c r="A202" s="7" t="s">
        <v>417</v>
      </c>
      <c r="B202" s="8" t="s">
        <v>129</v>
      </c>
      <c r="C202" s="8" t="n">
        <v>63</v>
      </c>
      <c r="D202" s="8" t="s">
        <v>33</v>
      </c>
      <c r="E202" s="9" t="n">
        <v>45771</v>
      </c>
      <c r="F202" s="8" t="n">
        <f aca="true">IF(E202="","",ROUND((TODAY()-E202)/7,1))</f>
        <v>59.4</v>
      </c>
      <c r="G202" s="8" t="s">
        <v>38</v>
      </c>
      <c r="H202" s="8"/>
      <c r="I202" s="8" t="s">
        <v>413</v>
      </c>
      <c r="J202" s="8" t="s">
        <v>414</v>
      </c>
      <c r="K202" s="8" t="n">
        <v>4</v>
      </c>
      <c r="L202" s="10" t="s">
        <v>48</v>
      </c>
      <c r="M202" s="10" t="s">
        <v>48</v>
      </c>
      <c r="N202" s="10" t="s">
        <v>83</v>
      </c>
      <c r="O202" s="10"/>
      <c r="P202" s="8" t="str">
        <f aca="false">MID(IF(L202="","","; APP:"&amp;L202)&amp;IF(M202="","","; PS1:"&amp;M202)&amp;IF(N202="","","; AQP4:"&amp;N202)&amp;IF(O202="","","; CAG-EGFP:"&amp;O202),3,200)</f>
        <v>APP:+/-; PS1:+/-; AQP4:-</v>
      </c>
      <c r="Q202" s="8" t="s">
        <v>47</v>
      </c>
      <c r="R202" s="8" t="s">
        <v>14</v>
      </c>
      <c r="S202" s="8"/>
      <c r="T202" s="8" t="s">
        <v>151</v>
      </c>
    </row>
    <row r="203" customFormat="false" ht="17.15" hidden="false" customHeight="false" outlineLevel="0" collapsed="false">
      <c r="A203" s="7" t="s">
        <v>418</v>
      </c>
      <c r="B203" s="8" t="s">
        <v>129</v>
      </c>
      <c r="C203" s="8" t="n">
        <v>64</v>
      </c>
      <c r="D203" s="8" t="s">
        <v>33</v>
      </c>
      <c r="E203" s="9" t="n">
        <v>45799</v>
      </c>
      <c r="F203" s="8" t="n">
        <f aca="true">IF(E203="","",ROUND((TODAY()-E203)/7,1))</f>
        <v>55.4</v>
      </c>
      <c r="G203" s="8" t="s">
        <v>38</v>
      </c>
      <c r="H203" s="8"/>
      <c r="I203" s="8" t="s">
        <v>413</v>
      </c>
      <c r="J203" s="8" t="s">
        <v>419</v>
      </c>
      <c r="K203" s="8" t="n">
        <v>4</v>
      </c>
      <c r="L203" s="10" t="s">
        <v>62</v>
      </c>
      <c r="M203" s="10" t="s">
        <v>62</v>
      </c>
      <c r="N203" s="10" t="s">
        <v>83</v>
      </c>
      <c r="O203" s="10"/>
      <c r="P203" s="8" t="str">
        <f aca="false">MID(IF(L203="","","; APP:"&amp;L203)&amp;IF(M203="","","; PS1:"&amp;M203)&amp;IF(N203="","","; AQP4:"&amp;N203)&amp;IF(O203="","","; CAG-EGFP:"&amp;O203),3,200)</f>
        <v>APP:-/-; PS1:-/-; AQP4:-</v>
      </c>
      <c r="Q203" s="8" t="s">
        <v>47</v>
      </c>
      <c r="R203" s="8" t="s">
        <v>14</v>
      </c>
      <c r="S203" s="8"/>
      <c r="T203" s="8" t="s">
        <v>151</v>
      </c>
    </row>
    <row r="204" customFormat="false" ht="17.15" hidden="false" customHeight="false" outlineLevel="0" collapsed="false">
      <c r="A204" s="7" t="s">
        <v>420</v>
      </c>
      <c r="B204" s="8" t="s">
        <v>129</v>
      </c>
      <c r="C204" s="8" t="n">
        <v>65</v>
      </c>
      <c r="D204" s="8" t="s">
        <v>33</v>
      </c>
      <c r="E204" s="9" t="n">
        <v>45799</v>
      </c>
      <c r="F204" s="8" t="n">
        <f aca="true">IF(E204="","",ROUND((TODAY()-E204)/7,1))</f>
        <v>55.4</v>
      </c>
      <c r="G204" s="8" t="s">
        <v>38</v>
      </c>
      <c r="H204" s="8"/>
      <c r="I204" s="8" t="s">
        <v>413</v>
      </c>
      <c r="J204" s="8" t="s">
        <v>419</v>
      </c>
      <c r="K204" s="8" t="n">
        <v>4</v>
      </c>
      <c r="L204" s="10" t="s">
        <v>48</v>
      </c>
      <c r="M204" s="10" t="s">
        <v>48</v>
      </c>
      <c r="N204" s="10" t="s">
        <v>83</v>
      </c>
      <c r="O204" s="10"/>
      <c r="P204" s="8" t="str">
        <f aca="false">MID(IF(L204="","","; APP:"&amp;L204)&amp;IF(M204="","","; PS1:"&amp;M204)&amp;IF(N204="","","; AQP4:"&amp;N204)&amp;IF(O204="","","; CAG-EGFP:"&amp;O204),3,200)</f>
        <v>APP:+/-; PS1:+/-; AQP4:-</v>
      </c>
      <c r="Q204" s="8" t="s">
        <v>47</v>
      </c>
      <c r="R204" s="8" t="s">
        <v>14</v>
      </c>
      <c r="S204" s="8"/>
      <c r="T204" s="8" t="s">
        <v>151</v>
      </c>
    </row>
    <row r="205" customFormat="false" ht="17.15" hidden="false" customHeight="false" outlineLevel="0" collapsed="false">
      <c r="A205" s="7" t="s">
        <v>421</v>
      </c>
      <c r="B205" s="8" t="s">
        <v>129</v>
      </c>
      <c r="C205" s="8" t="n">
        <v>66</v>
      </c>
      <c r="D205" s="8" t="s">
        <v>33</v>
      </c>
      <c r="E205" s="9" t="n">
        <v>45799</v>
      </c>
      <c r="F205" s="8" t="n">
        <f aca="true">IF(E205="","",ROUND((TODAY()-E205)/7,1))</f>
        <v>55.4</v>
      </c>
      <c r="G205" s="8" t="s">
        <v>38</v>
      </c>
      <c r="H205" s="8"/>
      <c r="I205" s="8" t="s">
        <v>413</v>
      </c>
      <c r="J205" s="8" t="s">
        <v>419</v>
      </c>
      <c r="K205" s="8" t="n">
        <v>4</v>
      </c>
      <c r="L205" s="10" t="s">
        <v>62</v>
      </c>
      <c r="M205" s="10" t="s">
        <v>62</v>
      </c>
      <c r="N205" s="10" t="s">
        <v>83</v>
      </c>
      <c r="O205" s="10"/>
      <c r="P205" s="8" t="str">
        <f aca="false">MID(IF(L205="","","; APP:"&amp;L205)&amp;IF(M205="","","; PS1:"&amp;M205)&amp;IF(N205="","","; AQP4:"&amp;N205)&amp;IF(O205="","","; CAG-EGFP:"&amp;O205),3,200)</f>
        <v>APP:-/-; PS1:-/-; AQP4:-</v>
      </c>
      <c r="Q205" s="8" t="s">
        <v>47</v>
      </c>
      <c r="R205" s="8" t="s">
        <v>14</v>
      </c>
      <c r="S205" s="8"/>
      <c r="T205" s="8" t="s">
        <v>151</v>
      </c>
    </row>
    <row r="206" customFormat="false" ht="17.15" hidden="false" customHeight="false" outlineLevel="0" collapsed="false">
      <c r="A206" s="7" t="s">
        <v>422</v>
      </c>
      <c r="B206" s="8" t="s">
        <v>129</v>
      </c>
      <c r="C206" s="8" t="n">
        <v>67</v>
      </c>
      <c r="D206" s="8" t="s">
        <v>46</v>
      </c>
      <c r="E206" s="9" t="n">
        <v>45799</v>
      </c>
      <c r="F206" s="8" t="n">
        <f aca="true">IF(E206="","",ROUND((TODAY()-E206)/7,1))</f>
        <v>55.4</v>
      </c>
      <c r="G206" s="8" t="s">
        <v>38</v>
      </c>
      <c r="H206" s="8"/>
      <c r="I206" s="8" t="s">
        <v>413</v>
      </c>
      <c r="J206" s="8" t="s">
        <v>419</v>
      </c>
      <c r="K206" s="8" t="n">
        <v>4</v>
      </c>
      <c r="L206" s="10" t="s">
        <v>62</v>
      </c>
      <c r="M206" s="10" t="s">
        <v>62</v>
      </c>
      <c r="N206" s="10" t="s">
        <v>83</v>
      </c>
      <c r="O206" s="10"/>
      <c r="P206" s="8" t="str">
        <f aca="false">MID(IF(L206="","","; APP:"&amp;L206)&amp;IF(M206="","","; PS1:"&amp;M206)&amp;IF(N206="","","; AQP4:"&amp;N206)&amp;IF(O206="","","; CAG-EGFP:"&amp;O206),3,200)</f>
        <v>APP:-/-; PS1:-/-; AQP4:-</v>
      </c>
      <c r="Q206" s="8" t="s">
        <v>47</v>
      </c>
      <c r="R206" s="8" t="s">
        <v>14</v>
      </c>
      <c r="S206" s="8"/>
      <c r="T206" s="8" t="s">
        <v>151</v>
      </c>
    </row>
    <row r="207" customFormat="false" ht="17.15" hidden="false" customHeight="false" outlineLevel="0" collapsed="false">
      <c r="A207" s="7" t="s">
        <v>423</v>
      </c>
      <c r="B207" s="8" t="s">
        <v>129</v>
      </c>
      <c r="C207" s="8" t="n">
        <v>68</v>
      </c>
      <c r="D207" s="8" t="s">
        <v>46</v>
      </c>
      <c r="E207" s="9" t="n">
        <v>45799</v>
      </c>
      <c r="F207" s="8" t="n">
        <f aca="true">IF(E207="","",ROUND((TODAY()-E207)/7,1))</f>
        <v>55.4</v>
      </c>
      <c r="G207" s="8" t="s">
        <v>38</v>
      </c>
      <c r="H207" s="8"/>
      <c r="I207" s="8" t="s">
        <v>413</v>
      </c>
      <c r="J207" s="8" t="s">
        <v>419</v>
      </c>
      <c r="K207" s="8" t="n">
        <v>4</v>
      </c>
      <c r="L207" s="10" t="s">
        <v>62</v>
      </c>
      <c r="M207" s="10" t="s">
        <v>62</v>
      </c>
      <c r="N207" s="10" t="s">
        <v>83</v>
      </c>
      <c r="O207" s="10"/>
      <c r="P207" s="8" t="str">
        <f aca="false">MID(IF(L207="","","; APP:"&amp;L207)&amp;IF(M207="","","; PS1:"&amp;M207)&amp;IF(N207="","","; AQP4:"&amp;N207)&amp;IF(O207="","","; CAG-EGFP:"&amp;O207),3,200)</f>
        <v>APP:-/-; PS1:-/-; AQP4:-</v>
      </c>
      <c r="Q207" s="8" t="s">
        <v>47</v>
      </c>
      <c r="R207" s="8" t="s">
        <v>14</v>
      </c>
      <c r="S207" s="8"/>
      <c r="T207" s="8" t="s">
        <v>151</v>
      </c>
    </row>
    <row r="208" customFormat="false" ht="17.15" hidden="false" customHeight="false" outlineLevel="0" collapsed="false">
      <c r="A208" s="7" t="s">
        <v>424</v>
      </c>
      <c r="B208" s="8" t="s">
        <v>129</v>
      </c>
      <c r="C208" s="8" t="n">
        <v>69</v>
      </c>
      <c r="D208" s="8" t="s">
        <v>46</v>
      </c>
      <c r="E208" s="9" t="n">
        <v>45799</v>
      </c>
      <c r="F208" s="8" t="n">
        <f aca="true">IF(E208="","",ROUND((TODAY()-E208)/7,1))</f>
        <v>55.4</v>
      </c>
      <c r="G208" s="8" t="s">
        <v>38</v>
      </c>
      <c r="H208" s="8"/>
      <c r="I208" s="8" t="s">
        <v>413</v>
      </c>
      <c r="J208" s="8" t="s">
        <v>419</v>
      </c>
      <c r="K208" s="8" t="n">
        <v>4</v>
      </c>
      <c r="L208" s="10" t="s">
        <v>48</v>
      </c>
      <c r="M208" s="10" t="s">
        <v>48</v>
      </c>
      <c r="N208" s="10" t="s">
        <v>83</v>
      </c>
      <c r="O208" s="10"/>
      <c r="P208" s="8" t="str">
        <f aca="false">MID(IF(L208="","","; APP:"&amp;L208)&amp;IF(M208="","","; PS1:"&amp;M208)&amp;IF(N208="","","; AQP4:"&amp;N208)&amp;IF(O208="","","; CAG-EGFP:"&amp;O208),3,200)</f>
        <v>APP:+/-; PS1:+/-; AQP4:-</v>
      </c>
      <c r="Q208" s="8" t="s">
        <v>47</v>
      </c>
      <c r="R208" s="8" t="s">
        <v>14</v>
      </c>
      <c r="S208" s="8"/>
      <c r="T208" s="8" t="s">
        <v>151</v>
      </c>
    </row>
    <row r="209" customFormat="false" ht="17.15" hidden="false" customHeight="false" outlineLevel="0" collapsed="false">
      <c r="A209" s="7" t="s">
        <v>425</v>
      </c>
      <c r="B209" s="8" t="s">
        <v>129</v>
      </c>
      <c r="C209" s="8" t="n">
        <v>70</v>
      </c>
      <c r="D209" s="8" t="s">
        <v>33</v>
      </c>
      <c r="E209" s="9" t="n">
        <v>45945</v>
      </c>
      <c r="F209" s="8" t="n">
        <f aca="true">IF(E209="","",ROUND((TODAY()-E209)/7,1))</f>
        <v>34.6</v>
      </c>
      <c r="G209" s="8" t="s">
        <v>38</v>
      </c>
      <c r="H209" s="8"/>
      <c r="I209" s="8" t="s">
        <v>426</v>
      </c>
      <c r="J209" s="8" t="s">
        <v>427</v>
      </c>
      <c r="K209" s="8" t="n">
        <v>5</v>
      </c>
      <c r="L209" s="10" t="s">
        <v>48</v>
      </c>
      <c r="M209" s="10" t="s">
        <v>48</v>
      </c>
      <c r="N209" s="10" t="s">
        <v>83</v>
      </c>
      <c r="O209" s="10"/>
      <c r="P209" s="8" t="str">
        <f aca="false">MID(IF(L209="","","; APP:"&amp;L209)&amp;IF(M209="","","; PS1:"&amp;M209)&amp;IF(N209="","","; AQP4:"&amp;N209)&amp;IF(O209="","","; CAG-EGFP:"&amp;O209),3,200)</f>
        <v>APP:+/-; PS1:+/-; AQP4:-</v>
      </c>
      <c r="Q209" s="8" t="s">
        <v>47</v>
      </c>
      <c r="R209" s="8" t="s">
        <v>84</v>
      </c>
      <c r="S209" s="8"/>
      <c r="T209" s="8" t="s">
        <v>428</v>
      </c>
    </row>
    <row r="210" customFormat="false" ht="17.15" hidden="false" customHeight="false" outlineLevel="0" collapsed="false">
      <c r="A210" s="7" t="s">
        <v>429</v>
      </c>
      <c r="B210" s="8" t="s">
        <v>129</v>
      </c>
      <c r="C210" s="8" t="n">
        <v>71</v>
      </c>
      <c r="D210" s="8" t="s">
        <v>33</v>
      </c>
      <c r="E210" s="9" t="n">
        <v>45945</v>
      </c>
      <c r="F210" s="8" t="n">
        <f aca="true">IF(E210="","",ROUND((TODAY()-E210)/7,1))</f>
        <v>34.6</v>
      </c>
      <c r="G210" s="8" t="s">
        <v>38</v>
      </c>
      <c r="H210" s="8"/>
      <c r="I210" s="8" t="s">
        <v>426</v>
      </c>
      <c r="J210" s="8" t="s">
        <v>427</v>
      </c>
      <c r="K210" s="8" t="n">
        <v>5</v>
      </c>
      <c r="L210" s="10" t="s">
        <v>48</v>
      </c>
      <c r="M210" s="10" t="s">
        <v>48</v>
      </c>
      <c r="N210" s="10" t="s">
        <v>83</v>
      </c>
      <c r="O210" s="10"/>
      <c r="P210" s="8" t="str">
        <f aca="false">MID(IF(L210="","","; APP:"&amp;L210)&amp;IF(M210="","","; PS1:"&amp;M210)&amp;IF(N210="","","; AQP4:"&amp;N210)&amp;IF(O210="","","; CAG-EGFP:"&amp;O210),3,200)</f>
        <v>APP:+/-; PS1:+/-; AQP4:-</v>
      </c>
      <c r="Q210" s="8" t="s">
        <v>47</v>
      </c>
      <c r="R210" s="8" t="s">
        <v>14</v>
      </c>
      <c r="S210" s="8"/>
      <c r="T210" s="8" t="s">
        <v>151</v>
      </c>
    </row>
    <row r="211" customFormat="false" ht="17.15" hidden="false" customHeight="false" outlineLevel="0" collapsed="false">
      <c r="A211" s="7" t="s">
        <v>430</v>
      </c>
      <c r="B211" s="8" t="s">
        <v>129</v>
      </c>
      <c r="C211" s="8" t="n">
        <v>72</v>
      </c>
      <c r="D211" s="8" t="s">
        <v>46</v>
      </c>
      <c r="E211" s="9" t="n">
        <v>45945</v>
      </c>
      <c r="F211" s="8" t="n">
        <f aca="true">IF(E211="","",ROUND((TODAY()-E211)/7,1))</f>
        <v>34.6</v>
      </c>
      <c r="G211" s="8" t="s">
        <v>38</v>
      </c>
      <c r="H211" s="8"/>
      <c r="I211" s="8" t="s">
        <v>426</v>
      </c>
      <c r="J211" s="8" t="s">
        <v>427</v>
      </c>
      <c r="K211" s="8" t="n">
        <v>5</v>
      </c>
      <c r="L211" s="10" t="s">
        <v>62</v>
      </c>
      <c r="M211" s="10" t="s">
        <v>62</v>
      </c>
      <c r="N211" s="10" t="s">
        <v>83</v>
      </c>
      <c r="O211" s="10"/>
      <c r="P211" s="8" t="str">
        <f aca="false">MID(IF(L211="","","; APP:"&amp;L211)&amp;IF(M211="","","; PS1:"&amp;M211)&amp;IF(N211="","","; AQP4:"&amp;N211)&amp;IF(O211="","","; CAG-EGFP:"&amp;O211),3,200)</f>
        <v>APP:-/-; PS1:-/-; AQP4:-</v>
      </c>
      <c r="Q211" s="8" t="s">
        <v>47</v>
      </c>
      <c r="R211" s="8" t="s">
        <v>14</v>
      </c>
      <c r="S211" s="8"/>
      <c r="T211" s="8" t="s">
        <v>151</v>
      </c>
    </row>
    <row r="212" customFormat="false" ht="17.15" hidden="false" customHeight="false" outlineLevel="0" collapsed="false">
      <c r="A212" s="7" t="s">
        <v>431</v>
      </c>
      <c r="B212" s="8" t="s">
        <v>129</v>
      </c>
      <c r="C212" s="8" t="n">
        <v>73</v>
      </c>
      <c r="D212" s="8" t="s">
        <v>46</v>
      </c>
      <c r="E212" s="9" t="n">
        <v>45945</v>
      </c>
      <c r="F212" s="8" t="n">
        <f aca="true">IF(E212="","",ROUND((TODAY()-E212)/7,1))</f>
        <v>34.6</v>
      </c>
      <c r="G212" s="8" t="s">
        <v>38</v>
      </c>
      <c r="H212" s="8"/>
      <c r="I212" s="8" t="s">
        <v>426</v>
      </c>
      <c r="J212" s="8" t="s">
        <v>427</v>
      </c>
      <c r="K212" s="8" t="n">
        <v>5</v>
      </c>
      <c r="L212" s="10" t="s">
        <v>62</v>
      </c>
      <c r="M212" s="10" t="s">
        <v>62</v>
      </c>
      <c r="N212" s="10" t="s">
        <v>83</v>
      </c>
      <c r="O212" s="10"/>
      <c r="P212" s="8" t="str">
        <f aca="false">MID(IF(L212="","","; APP:"&amp;L212)&amp;IF(M212="","","; PS1:"&amp;M212)&amp;IF(N212="","","; AQP4:"&amp;N212)&amp;IF(O212="","","; CAG-EGFP:"&amp;O212),3,200)</f>
        <v>APP:-/-; PS1:-/-; AQP4:-</v>
      </c>
      <c r="Q212" s="8" t="s">
        <v>47</v>
      </c>
      <c r="R212" s="8" t="s">
        <v>14</v>
      </c>
      <c r="S212" s="8"/>
      <c r="T212" s="8" t="s">
        <v>151</v>
      </c>
    </row>
    <row r="213" customFormat="false" ht="17.15" hidden="false" customHeight="false" outlineLevel="0" collapsed="false">
      <c r="A213" s="7" t="s">
        <v>432</v>
      </c>
      <c r="B213" s="8" t="s">
        <v>129</v>
      </c>
      <c r="C213" s="8" t="n">
        <v>74</v>
      </c>
      <c r="D213" s="8" t="s">
        <v>46</v>
      </c>
      <c r="E213" s="9" t="n">
        <v>45945</v>
      </c>
      <c r="F213" s="8" t="n">
        <f aca="true">IF(E213="","",ROUND((TODAY()-E213)/7,1))</f>
        <v>34.6</v>
      </c>
      <c r="G213" s="8" t="s">
        <v>38</v>
      </c>
      <c r="H213" s="8"/>
      <c r="I213" s="8" t="s">
        <v>426</v>
      </c>
      <c r="J213" s="8" t="s">
        <v>427</v>
      </c>
      <c r="K213" s="8" t="n">
        <v>5</v>
      </c>
      <c r="L213" s="10" t="s">
        <v>62</v>
      </c>
      <c r="M213" s="10" t="s">
        <v>62</v>
      </c>
      <c r="N213" s="10" t="s">
        <v>83</v>
      </c>
      <c r="O213" s="10"/>
      <c r="P213" s="8" t="str">
        <f aca="false">MID(IF(L213="","","; APP:"&amp;L213)&amp;IF(M213="","","; PS1:"&amp;M213)&amp;IF(N213="","","; AQP4:"&amp;N213)&amp;IF(O213="","","; CAG-EGFP:"&amp;O213),3,200)</f>
        <v>APP:-/-; PS1:-/-; AQP4:-</v>
      </c>
      <c r="Q213" s="8" t="s">
        <v>47</v>
      </c>
      <c r="R213" s="8" t="s">
        <v>14</v>
      </c>
      <c r="S213" s="8"/>
      <c r="T213" s="8" t="s">
        <v>151</v>
      </c>
    </row>
    <row r="214" customFormat="false" ht="17.15" hidden="false" customHeight="false" outlineLevel="0" collapsed="false">
      <c r="A214" s="7" t="s">
        <v>433</v>
      </c>
      <c r="B214" s="8" t="s">
        <v>129</v>
      </c>
      <c r="C214" s="8" t="n">
        <v>75</v>
      </c>
      <c r="D214" s="8" t="s">
        <v>46</v>
      </c>
      <c r="E214" s="9" t="n">
        <v>45945</v>
      </c>
      <c r="F214" s="8" t="n">
        <f aca="true">IF(E214="","",ROUND((TODAY()-E214)/7,1))</f>
        <v>34.6</v>
      </c>
      <c r="G214" s="8" t="s">
        <v>38</v>
      </c>
      <c r="H214" s="8"/>
      <c r="I214" s="8" t="s">
        <v>426</v>
      </c>
      <c r="J214" s="8" t="s">
        <v>427</v>
      </c>
      <c r="K214" s="8" t="n">
        <v>5</v>
      </c>
      <c r="L214" s="10" t="s">
        <v>62</v>
      </c>
      <c r="M214" s="10" t="s">
        <v>62</v>
      </c>
      <c r="N214" s="10" t="s">
        <v>83</v>
      </c>
      <c r="O214" s="10"/>
      <c r="P214" s="8" t="str">
        <f aca="false">MID(IF(L214="","","; APP:"&amp;L214)&amp;IF(M214="","","; PS1:"&amp;M214)&amp;IF(N214="","","; AQP4:"&amp;N214)&amp;IF(O214="","","; CAG-EGFP:"&amp;O214),3,200)</f>
        <v>APP:-/-; PS1:-/-; AQP4:-</v>
      </c>
      <c r="Q214" s="8" t="s">
        <v>47</v>
      </c>
      <c r="R214" s="8" t="s">
        <v>14</v>
      </c>
      <c r="S214" s="8"/>
      <c r="T214" s="8" t="s">
        <v>151</v>
      </c>
    </row>
    <row r="215" customFormat="false" ht="17.15" hidden="false" customHeight="false" outlineLevel="0" collapsed="false">
      <c r="A215" s="7" t="s">
        <v>434</v>
      </c>
      <c r="B215" s="8" t="s">
        <v>129</v>
      </c>
      <c r="C215" s="8" t="n">
        <v>76</v>
      </c>
      <c r="D215" s="8" t="s">
        <v>46</v>
      </c>
      <c r="E215" s="9" t="n">
        <v>45945</v>
      </c>
      <c r="F215" s="8" t="n">
        <f aca="true">IF(E215="","",ROUND((TODAY()-E215)/7,1))</f>
        <v>34.6</v>
      </c>
      <c r="G215" s="8" t="s">
        <v>38</v>
      </c>
      <c r="H215" s="8"/>
      <c r="I215" s="8" t="s">
        <v>426</v>
      </c>
      <c r="J215" s="8" t="s">
        <v>427</v>
      </c>
      <c r="K215" s="8" t="n">
        <v>5</v>
      </c>
      <c r="L215" s="10" t="s">
        <v>48</v>
      </c>
      <c r="M215" s="10" t="s">
        <v>48</v>
      </c>
      <c r="N215" s="10" t="s">
        <v>83</v>
      </c>
      <c r="O215" s="10"/>
      <c r="P215" s="8" t="str">
        <f aca="false">MID(IF(L215="","","; APP:"&amp;L215)&amp;IF(M215="","","; PS1:"&amp;M215)&amp;IF(N215="","","; AQP4:"&amp;N215)&amp;IF(O215="","","; CAG-EGFP:"&amp;O215),3,200)</f>
        <v>APP:+/-; PS1:+/-; AQP4:-</v>
      </c>
      <c r="Q215" s="8" t="s">
        <v>47</v>
      </c>
      <c r="R215" s="8" t="s">
        <v>14</v>
      </c>
      <c r="S215" s="8"/>
      <c r="T215" s="8" t="s">
        <v>151</v>
      </c>
    </row>
    <row r="216" customFormat="false" ht="17.15" hidden="false" customHeight="false" outlineLevel="0" collapsed="false">
      <c r="A216" s="7" t="s">
        <v>435</v>
      </c>
      <c r="B216" s="8" t="s">
        <v>129</v>
      </c>
      <c r="C216" s="8" t="n">
        <v>77</v>
      </c>
      <c r="D216" s="8" t="s">
        <v>33</v>
      </c>
      <c r="E216" s="9" t="n">
        <v>45949</v>
      </c>
      <c r="F216" s="8" t="n">
        <f aca="true">IF(E216="","",ROUND((TODAY()-E216)/7,1))</f>
        <v>34</v>
      </c>
      <c r="G216" s="8" t="s">
        <v>38</v>
      </c>
      <c r="H216" s="8"/>
      <c r="I216" s="8" t="s">
        <v>436</v>
      </c>
      <c r="J216" s="8" t="s">
        <v>437</v>
      </c>
      <c r="K216" s="8" t="n">
        <v>5</v>
      </c>
      <c r="L216" s="10" t="s">
        <v>62</v>
      </c>
      <c r="M216" s="10" t="s">
        <v>62</v>
      </c>
      <c r="N216" s="10" t="s">
        <v>83</v>
      </c>
      <c r="O216" s="10"/>
      <c r="P216" s="8" t="str">
        <f aca="false">MID(IF(L216="","","; APP:"&amp;L216)&amp;IF(M216="","","; PS1:"&amp;M216)&amp;IF(N216="","","; AQP4:"&amp;N216)&amp;IF(O216="","","; CAG-EGFP:"&amp;O216),3,200)</f>
        <v>APP:-/-; PS1:-/-; AQP4:-</v>
      </c>
      <c r="Q216" s="8" t="s">
        <v>47</v>
      </c>
      <c r="R216" s="8" t="s">
        <v>14</v>
      </c>
      <c r="S216" s="8"/>
      <c r="T216" s="8" t="s">
        <v>151</v>
      </c>
    </row>
    <row r="217" customFormat="false" ht="17.15" hidden="false" customHeight="false" outlineLevel="0" collapsed="false">
      <c r="A217" s="7" t="s">
        <v>438</v>
      </c>
      <c r="B217" s="8" t="s">
        <v>129</v>
      </c>
      <c r="C217" s="8" t="n">
        <v>78</v>
      </c>
      <c r="D217" s="8" t="s">
        <v>33</v>
      </c>
      <c r="E217" s="9" t="n">
        <v>45949</v>
      </c>
      <c r="F217" s="8" t="n">
        <f aca="true">IF(E217="","",ROUND((TODAY()-E217)/7,1))</f>
        <v>34</v>
      </c>
      <c r="G217" s="8" t="s">
        <v>38</v>
      </c>
      <c r="H217" s="8"/>
      <c r="I217" s="8" t="s">
        <v>436</v>
      </c>
      <c r="J217" s="8" t="s">
        <v>437</v>
      </c>
      <c r="K217" s="8" t="n">
        <v>5</v>
      </c>
      <c r="L217" s="10" t="s">
        <v>48</v>
      </c>
      <c r="M217" s="10" t="s">
        <v>48</v>
      </c>
      <c r="N217" s="10" t="s">
        <v>83</v>
      </c>
      <c r="O217" s="10"/>
      <c r="P217" s="8" t="str">
        <f aca="false">MID(IF(L217="","","; APP:"&amp;L217)&amp;IF(M217="","","; PS1:"&amp;M217)&amp;IF(N217="","","; AQP4:"&amp;N217)&amp;IF(O217="","","; CAG-EGFP:"&amp;O217),3,200)</f>
        <v>APP:+/-; PS1:+/-; AQP4:-</v>
      </c>
      <c r="Q217" s="8" t="s">
        <v>47</v>
      </c>
      <c r="R217" s="8" t="s">
        <v>84</v>
      </c>
      <c r="S217" s="8"/>
      <c r="T217" s="8" t="s">
        <v>428</v>
      </c>
    </row>
    <row r="218" customFormat="false" ht="17.15" hidden="false" customHeight="false" outlineLevel="0" collapsed="false">
      <c r="A218" s="7" t="s">
        <v>439</v>
      </c>
      <c r="B218" s="8" t="s">
        <v>129</v>
      </c>
      <c r="C218" s="8" t="n">
        <v>79</v>
      </c>
      <c r="D218" s="8" t="s">
        <v>46</v>
      </c>
      <c r="E218" s="9" t="n">
        <v>45949</v>
      </c>
      <c r="F218" s="8" t="n">
        <f aca="true">IF(E218="","",ROUND((TODAY()-E218)/7,1))</f>
        <v>34</v>
      </c>
      <c r="G218" s="8" t="s">
        <v>38</v>
      </c>
      <c r="H218" s="8"/>
      <c r="I218" s="8" t="s">
        <v>436</v>
      </c>
      <c r="J218" s="8" t="s">
        <v>437</v>
      </c>
      <c r="K218" s="8" t="n">
        <v>5</v>
      </c>
      <c r="L218" s="10" t="s">
        <v>48</v>
      </c>
      <c r="M218" s="10" t="s">
        <v>48</v>
      </c>
      <c r="N218" s="10" t="s">
        <v>83</v>
      </c>
      <c r="O218" s="10"/>
      <c r="P218" s="8" t="str">
        <f aca="false">MID(IF(L218="","","; APP:"&amp;L218)&amp;IF(M218="","","; PS1:"&amp;M218)&amp;IF(N218="","","; AQP4:"&amp;N218)&amp;IF(O218="","","; CAG-EGFP:"&amp;O218),3,200)</f>
        <v>APP:+/-; PS1:+/-; AQP4:-</v>
      </c>
      <c r="Q218" s="8" t="s">
        <v>47</v>
      </c>
      <c r="R218" s="8" t="s">
        <v>14</v>
      </c>
      <c r="S218" s="8"/>
      <c r="T218" s="8" t="s">
        <v>151</v>
      </c>
    </row>
    <row r="219" customFormat="false" ht="17.15" hidden="false" customHeight="false" outlineLevel="0" collapsed="false">
      <c r="A219" s="7" t="s">
        <v>440</v>
      </c>
      <c r="B219" s="8" t="s">
        <v>129</v>
      </c>
      <c r="C219" s="8" t="n">
        <v>80</v>
      </c>
      <c r="D219" s="8" t="s">
        <v>46</v>
      </c>
      <c r="E219" s="9" t="n">
        <v>45949</v>
      </c>
      <c r="F219" s="8" t="n">
        <f aca="true">IF(E219="","",ROUND((TODAY()-E219)/7,1))</f>
        <v>34</v>
      </c>
      <c r="G219" s="8" t="s">
        <v>38</v>
      </c>
      <c r="H219" s="8"/>
      <c r="I219" s="8" t="s">
        <v>436</v>
      </c>
      <c r="J219" s="8" t="s">
        <v>437</v>
      </c>
      <c r="K219" s="8" t="n">
        <v>5</v>
      </c>
      <c r="L219" s="10" t="s">
        <v>62</v>
      </c>
      <c r="M219" s="10" t="s">
        <v>62</v>
      </c>
      <c r="N219" s="10" t="s">
        <v>83</v>
      </c>
      <c r="O219" s="10"/>
      <c r="P219" s="8" t="str">
        <f aca="false">MID(IF(L219="","","; APP:"&amp;L219)&amp;IF(M219="","","; PS1:"&amp;M219)&amp;IF(N219="","","; AQP4:"&amp;N219)&amp;IF(O219="","","; CAG-EGFP:"&amp;O219),3,200)</f>
        <v>APP:-/-; PS1:-/-; AQP4:-</v>
      </c>
      <c r="Q219" s="8" t="s">
        <v>47</v>
      </c>
      <c r="R219" s="8" t="s">
        <v>14</v>
      </c>
      <c r="S219" s="8"/>
      <c r="T219" s="8" t="s">
        <v>151</v>
      </c>
    </row>
    <row r="220" customFormat="false" ht="17.15" hidden="false" customHeight="false" outlineLevel="0" collapsed="false">
      <c r="A220" s="7" t="s">
        <v>441</v>
      </c>
      <c r="B220" s="8" t="s">
        <v>129</v>
      </c>
      <c r="C220" s="8" t="n">
        <v>81</v>
      </c>
      <c r="D220" s="8" t="s">
        <v>46</v>
      </c>
      <c r="E220" s="9" t="n">
        <v>45949</v>
      </c>
      <c r="F220" s="8" t="n">
        <f aca="true">IF(E220="","",ROUND((TODAY()-E220)/7,1))</f>
        <v>34</v>
      </c>
      <c r="G220" s="8" t="s">
        <v>38</v>
      </c>
      <c r="H220" s="8"/>
      <c r="I220" s="8" t="s">
        <v>436</v>
      </c>
      <c r="J220" s="8" t="s">
        <v>437</v>
      </c>
      <c r="K220" s="8" t="n">
        <v>5</v>
      </c>
      <c r="L220" s="10" t="s">
        <v>48</v>
      </c>
      <c r="M220" s="10" t="s">
        <v>48</v>
      </c>
      <c r="N220" s="10" t="s">
        <v>83</v>
      </c>
      <c r="O220" s="10"/>
      <c r="P220" s="8" t="str">
        <f aca="false">MID(IF(L220="","","; APP:"&amp;L220)&amp;IF(M220="","","; PS1:"&amp;M220)&amp;IF(N220="","","; AQP4:"&amp;N220)&amp;IF(O220="","","; CAG-EGFP:"&amp;O220),3,200)</f>
        <v>APP:+/-; PS1:+/-; AQP4:-</v>
      </c>
      <c r="Q220" s="8" t="s">
        <v>47</v>
      </c>
      <c r="R220" s="8" t="s">
        <v>14</v>
      </c>
      <c r="S220" s="8"/>
      <c r="T220" s="8" t="s">
        <v>158</v>
      </c>
    </row>
    <row r="221" customFormat="false" ht="17.15" hidden="false" customHeight="false" outlineLevel="0" collapsed="false">
      <c r="A221" s="7" t="s">
        <v>442</v>
      </c>
      <c r="B221" s="8" t="s">
        <v>129</v>
      </c>
      <c r="C221" s="8" t="n">
        <v>82</v>
      </c>
      <c r="D221" s="8" t="s">
        <v>46</v>
      </c>
      <c r="E221" s="9" t="n">
        <v>45949</v>
      </c>
      <c r="F221" s="8" t="n">
        <f aca="true">IF(E221="","",ROUND((TODAY()-E221)/7,1))</f>
        <v>34</v>
      </c>
      <c r="G221" s="8" t="s">
        <v>38</v>
      </c>
      <c r="H221" s="8"/>
      <c r="I221" s="8" t="s">
        <v>436</v>
      </c>
      <c r="J221" s="8" t="s">
        <v>437</v>
      </c>
      <c r="K221" s="8" t="n">
        <v>5</v>
      </c>
      <c r="L221" s="10" t="s">
        <v>48</v>
      </c>
      <c r="M221" s="10" t="s">
        <v>48</v>
      </c>
      <c r="N221" s="10" t="s">
        <v>83</v>
      </c>
      <c r="O221" s="10"/>
      <c r="P221" s="8" t="str">
        <f aca="false">MID(IF(L221="","","; APP:"&amp;L221)&amp;IF(M221="","","; PS1:"&amp;M221)&amp;IF(N221="","","; AQP4:"&amp;N221)&amp;IF(O221="","","; CAG-EGFP:"&amp;O221),3,200)</f>
        <v>APP:+/-; PS1:+/-; AQP4:-</v>
      </c>
      <c r="Q221" s="8" t="s">
        <v>47</v>
      </c>
      <c r="R221" s="8" t="s">
        <v>14</v>
      </c>
      <c r="S221" s="8"/>
      <c r="T221" s="8" t="s">
        <v>158</v>
      </c>
    </row>
    <row r="222" customFormat="false" ht="17.15" hidden="false" customHeight="false" outlineLevel="0" collapsed="false">
      <c r="A222" s="7" t="s">
        <v>443</v>
      </c>
      <c r="B222" s="8" t="s">
        <v>129</v>
      </c>
      <c r="C222" s="8" t="n">
        <v>83</v>
      </c>
      <c r="D222" s="8" t="s">
        <v>46</v>
      </c>
      <c r="E222" s="9" t="n">
        <v>45949</v>
      </c>
      <c r="F222" s="8" t="n">
        <f aca="true">IF(E222="","",ROUND((TODAY()-E222)/7,1))</f>
        <v>34</v>
      </c>
      <c r="G222" s="8" t="s">
        <v>38</v>
      </c>
      <c r="H222" s="8"/>
      <c r="I222" s="8" t="s">
        <v>436</v>
      </c>
      <c r="J222" s="8" t="s">
        <v>437</v>
      </c>
      <c r="K222" s="8" t="n">
        <v>5</v>
      </c>
      <c r="L222" s="10" t="s">
        <v>62</v>
      </c>
      <c r="M222" s="10" t="s">
        <v>62</v>
      </c>
      <c r="N222" s="10" t="s">
        <v>83</v>
      </c>
      <c r="O222" s="10"/>
      <c r="P222" s="8" t="str">
        <f aca="false">MID(IF(L222="","","; APP:"&amp;L222)&amp;IF(M222="","","; PS1:"&amp;M222)&amp;IF(N222="","","; AQP4:"&amp;N222)&amp;IF(O222="","","; CAG-EGFP:"&amp;O222),3,200)</f>
        <v>APP:-/-; PS1:-/-; AQP4:-</v>
      </c>
      <c r="Q222" s="8" t="s">
        <v>47</v>
      </c>
      <c r="R222" s="8" t="s">
        <v>14</v>
      </c>
      <c r="S222" s="8"/>
      <c r="T222" s="8" t="s">
        <v>158</v>
      </c>
    </row>
    <row r="223" customFormat="false" ht="15" hidden="false" customHeight="false" outlineLevel="0" collapsed="false">
      <c r="A223" s="7" t="s">
        <v>444</v>
      </c>
      <c r="B223" s="8" t="s">
        <v>129</v>
      </c>
      <c r="C223" s="8" t="n">
        <v>84</v>
      </c>
      <c r="D223" s="8"/>
      <c r="E223" s="9" t="n">
        <v>46163</v>
      </c>
      <c r="F223" s="8" t="n">
        <f aca="true">IF(E223="","",ROUND((TODAY()-E223)/7,1))</f>
        <v>3.4</v>
      </c>
      <c r="G223" s="8" t="s">
        <v>38</v>
      </c>
      <c r="H223" s="8"/>
      <c r="I223" s="8" t="s">
        <v>445</v>
      </c>
      <c r="J223" s="8" t="s">
        <v>446</v>
      </c>
      <c r="K223" s="8"/>
      <c r="L223" s="10"/>
      <c r="M223" s="10"/>
      <c r="N223" s="10"/>
      <c r="O223" s="10"/>
      <c r="P223" s="8" t="str">
        <f aca="false">MID(IF(L223="","","; APP:"&amp;L223)&amp;IF(M223="","","; PS1:"&amp;M223)&amp;IF(N223="","","; AQP4:"&amp;N223)&amp;IF(O223="","","; CAG-EGFP:"&amp;O223),3,200)</f>
        <v/>
      </c>
      <c r="Q223" s="8" t="s">
        <v>34</v>
      </c>
      <c r="R223" s="8" t="s">
        <v>14</v>
      </c>
      <c r="S223" s="8"/>
      <c r="T223" s="8"/>
    </row>
    <row r="224" customFormat="false" ht="15" hidden="false" customHeight="false" outlineLevel="0" collapsed="false">
      <c r="A224" s="7" t="s">
        <v>447</v>
      </c>
      <c r="B224" s="8" t="s">
        <v>129</v>
      </c>
      <c r="C224" s="8" t="n">
        <v>85</v>
      </c>
      <c r="D224" s="8"/>
      <c r="E224" s="9" t="n">
        <v>46163</v>
      </c>
      <c r="F224" s="8" t="n">
        <f aca="true">IF(E224="","",ROUND((TODAY()-E224)/7,1))</f>
        <v>3.4</v>
      </c>
      <c r="G224" s="8" t="s">
        <v>38</v>
      </c>
      <c r="H224" s="8"/>
      <c r="I224" s="8" t="s">
        <v>445</v>
      </c>
      <c r="J224" s="8" t="s">
        <v>446</v>
      </c>
      <c r="K224" s="8"/>
      <c r="L224" s="10"/>
      <c r="M224" s="10"/>
      <c r="N224" s="10"/>
      <c r="O224" s="10"/>
      <c r="P224" s="8" t="str">
        <f aca="false">MID(IF(L224="","","; APP:"&amp;L224)&amp;IF(M224="","","; PS1:"&amp;M224)&amp;IF(N224="","","; AQP4:"&amp;N224)&amp;IF(O224="","","; CAG-EGFP:"&amp;O224),3,200)</f>
        <v/>
      </c>
      <c r="Q224" s="8" t="s">
        <v>34</v>
      </c>
      <c r="R224" s="8" t="s">
        <v>14</v>
      </c>
      <c r="S224" s="8"/>
      <c r="T224" s="8"/>
    </row>
    <row r="225" customFormat="false" ht="15" hidden="false" customHeight="false" outlineLevel="0" collapsed="false">
      <c r="A225" s="7" t="s">
        <v>448</v>
      </c>
      <c r="B225" s="8" t="s">
        <v>129</v>
      </c>
      <c r="C225" s="8" t="n">
        <v>86</v>
      </c>
      <c r="D225" s="8"/>
      <c r="E225" s="9" t="n">
        <v>46163</v>
      </c>
      <c r="F225" s="8" t="n">
        <f aca="true">IF(E225="","",ROUND((TODAY()-E225)/7,1))</f>
        <v>3.4</v>
      </c>
      <c r="G225" s="8" t="s">
        <v>38</v>
      </c>
      <c r="H225" s="8"/>
      <c r="I225" s="8" t="s">
        <v>445</v>
      </c>
      <c r="J225" s="8" t="s">
        <v>446</v>
      </c>
      <c r="K225" s="8"/>
      <c r="L225" s="10"/>
      <c r="M225" s="10"/>
      <c r="N225" s="10"/>
      <c r="O225" s="10"/>
      <c r="P225" s="8" t="str">
        <f aca="false">MID(IF(L225="","","; APP:"&amp;L225)&amp;IF(M225="","","; PS1:"&amp;M225)&amp;IF(N225="","","; AQP4:"&amp;N225)&amp;IF(O225="","","; CAG-EGFP:"&amp;O225),3,200)</f>
        <v/>
      </c>
      <c r="Q225" s="8" t="s">
        <v>34</v>
      </c>
      <c r="R225" s="8" t="s">
        <v>14</v>
      </c>
      <c r="S225" s="8"/>
      <c r="T225" s="8"/>
    </row>
    <row r="226" customFormat="false" ht="15" hidden="false" customHeight="false" outlineLevel="0" collapsed="false">
      <c r="A226" s="7" t="s">
        <v>449</v>
      </c>
      <c r="B226" s="8" t="s">
        <v>129</v>
      </c>
      <c r="C226" s="8" t="n">
        <v>87</v>
      </c>
      <c r="D226" s="8"/>
      <c r="E226" s="9" t="n">
        <v>46163</v>
      </c>
      <c r="F226" s="8" t="n">
        <f aca="true">IF(E226="","",ROUND((TODAY()-E226)/7,1))</f>
        <v>3.4</v>
      </c>
      <c r="G226" s="8" t="s">
        <v>38</v>
      </c>
      <c r="H226" s="8"/>
      <c r="I226" s="8" t="s">
        <v>445</v>
      </c>
      <c r="J226" s="8" t="s">
        <v>446</v>
      </c>
      <c r="K226" s="8"/>
      <c r="L226" s="10"/>
      <c r="M226" s="10"/>
      <c r="N226" s="10"/>
      <c r="O226" s="10"/>
      <c r="P226" s="8" t="str">
        <f aca="false">MID(IF(L226="","","; APP:"&amp;L226)&amp;IF(M226="","","; PS1:"&amp;M226)&amp;IF(N226="","","; AQP4:"&amp;N226)&amp;IF(O226="","","; CAG-EGFP:"&amp;O226),3,200)</f>
        <v/>
      </c>
      <c r="Q226" s="8" t="s">
        <v>34</v>
      </c>
      <c r="R226" s="8" t="s">
        <v>14</v>
      </c>
      <c r="S226" s="8"/>
      <c r="T226" s="8"/>
    </row>
    <row r="227" customFormat="false" ht="15" hidden="false" customHeight="false" outlineLevel="0" collapsed="false">
      <c r="A227" s="7" t="s">
        <v>450</v>
      </c>
      <c r="B227" s="8" t="s">
        <v>129</v>
      </c>
      <c r="C227" s="8" t="n">
        <v>88</v>
      </c>
      <c r="D227" s="8"/>
      <c r="E227" s="9" t="n">
        <v>46163</v>
      </c>
      <c r="F227" s="8" t="n">
        <f aca="true">IF(E227="","",ROUND((TODAY()-E227)/7,1))</f>
        <v>3.4</v>
      </c>
      <c r="G227" s="8" t="s">
        <v>38</v>
      </c>
      <c r="H227" s="8"/>
      <c r="I227" s="8" t="s">
        <v>445</v>
      </c>
      <c r="J227" s="8" t="s">
        <v>446</v>
      </c>
      <c r="K227" s="8"/>
      <c r="L227" s="10"/>
      <c r="M227" s="10"/>
      <c r="N227" s="10"/>
      <c r="O227" s="10"/>
      <c r="P227" s="8" t="str">
        <f aca="false">MID(IF(L227="","","; APP:"&amp;L227)&amp;IF(M227="","","; PS1:"&amp;M227)&amp;IF(N227="","","; AQP4:"&amp;N227)&amp;IF(O227="","","; CAG-EGFP:"&amp;O227),3,200)</f>
        <v/>
      </c>
      <c r="Q227" s="8" t="s">
        <v>34</v>
      </c>
      <c r="R227" s="8" t="s">
        <v>14</v>
      </c>
      <c r="S227" s="8"/>
      <c r="T227" s="8"/>
    </row>
    <row r="228" customFormat="false" ht="15" hidden="false" customHeight="false" outlineLevel="0" collapsed="false">
      <c r="A228" s="7" t="s">
        <v>451</v>
      </c>
      <c r="B228" s="8" t="s">
        <v>129</v>
      </c>
      <c r="C228" s="8" t="n">
        <v>89</v>
      </c>
      <c r="D228" s="8"/>
      <c r="E228" s="9" t="n">
        <v>46163</v>
      </c>
      <c r="F228" s="8" t="n">
        <f aca="true">IF(E228="","",ROUND((TODAY()-E228)/7,1))</f>
        <v>3.4</v>
      </c>
      <c r="G228" s="8" t="s">
        <v>38</v>
      </c>
      <c r="H228" s="8"/>
      <c r="I228" s="8" t="s">
        <v>445</v>
      </c>
      <c r="J228" s="8" t="s">
        <v>446</v>
      </c>
      <c r="K228" s="8"/>
      <c r="L228" s="10"/>
      <c r="M228" s="10"/>
      <c r="N228" s="10"/>
      <c r="O228" s="10"/>
      <c r="P228" s="8" t="str">
        <f aca="false">MID(IF(L228="","","; APP:"&amp;L228)&amp;IF(M228="","","; PS1:"&amp;M228)&amp;IF(N228="","","; AQP4:"&amp;N228)&amp;IF(O228="","","; CAG-EGFP:"&amp;O228),3,200)</f>
        <v/>
      </c>
      <c r="Q228" s="8" t="s">
        <v>34</v>
      </c>
      <c r="R228" s="8" t="s">
        <v>14</v>
      </c>
      <c r="S228" s="8"/>
      <c r="T228" s="8"/>
    </row>
    <row r="229" customFormat="false" ht="15" hidden="false" customHeight="false" outlineLevel="0" collapsed="false">
      <c r="A229" s="7" t="s">
        <v>452</v>
      </c>
      <c r="B229" s="8" t="s">
        <v>129</v>
      </c>
      <c r="C229" s="8" t="n">
        <v>90</v>
      </c>
      <c r="D229" s="8"/>
      <c r="E229" s="9" t="n">
        <v>46163</v>
      </c>
      <c r="F229" s="8" t="n">
        <f aca="true">IF(E229="","",ROUND((TODAY()-E229)/7,1))</f>
        <v>3.4</v>
      </c>
      <c r="G229" s="8" t="s">
        <v>38</v>
      </c>
      <c r="H229" s="8"/>
      <c r="I229" s="8" t="s">
        <v>445</v>
      </c>
      <c r="J229" s="8" t="s">
        <v>446</v>
      </c>
      <c r="K229" s="8"/>
      <c r="L229" s="10"/>
      <c r="M229" s="10"/>
      <c r="N229" s="10"/>
      <c r="O229" s="10"/>
      <c r="P229" s="8" t="str">
        <f aca="false">MID(IF(L229="","","; APP:"&amp;L229)&amp;IF(M229="","","; PS1:"&amp;M229)&amp;IF(N229="","","; AQP4:"&amp;N229)&amp;IF(O229="","","; CAG-EGFP:"&amp;O229),3,200)</f>
        <v/>
      </c>
      <c r="Q229" s="8" t="s">
        <v>34</v>
      </c>
      <c r="R229" s="8" t="s">
        <v>14</v>
      </c>
      <c r="S229" s="8"/>
      <c r="T229" s="8"/>
    </row>
    <row r="230" customFormat="false" ht="15" hidden="false" customHeight="false" outlineLevel="0" collapsed="false">
      <c r="A230" s="7" t="s">
        <v>453</v>
      </c>
      <c r="B230" s="8" t="s">
        <v>129</v>
      </c>
      <c r="C230" s="8" t="n">
        <v>91</v>
      </c>
      <c r="D230" s="8"/>
      <c r="E230" s="9" t="n">
        <v>46163</v>
      </c>
      <c r="F230" s="8" t="n">
        <f aca="true">IF(E230="","",ROUND((TODAY()-E230)/7,1))</f>
        <v>3.4</v>
      </c>
      <c r="G230" s="8" t="s">
        <v>38</v>
      </c>
      <c r="H230" s="8"/>
      <c r="I230" s="8" t="s">
        <v>445</v>
      </c>
      <c r="J230" s="8" t="s">
        <v>446</v>
      </c>
      <c r="K230" s="8"/>
      <c r="L230" s="10"/>
      <c r="M230" s="10"/>
      <c r="N230" s="10"/>
      <c r="O230" s="10"/>
      <c r="P230" s="8" t="str">
        <f aca="false">MID(IF(L230="","","; APP:"&amp;L230)&amp;IF(M230="","","; PS1:"&amp;M230)&amp;IF(N230="","","; AQP4:"&amp;N230)&amp;IF(O230="","","; CAG-EGFP:"&amp;O230),3,200)</f>
        <v/>
      </c>
      <c r="Q230" s="8" t="s">
        <v>34</v>
      </c>
      <c r="R230" s="8" t="s">
        <v>14</v>
      </c>
      <c r="S230" s="8"/>
      <c r="T230" s="8"/>
    </row>
    <row r="231" customFormat="false" ht="15" hidden="false" customHeight="false" outlineLevel="0" collapsed="false">
      <c r="A231" s="7" t="s">
        <v>454</v>
      </c>
      <c r="B231" s="8" t="s">
        <v>129</v>
      </c>
      <c r="C231" s="8" t="n">
        <v>92</v>
      </c>
      <c r="D231" s="8"/>
      <c r="E231" s="9" t="n">
        <v>46163</v>
      </c>
      <c r="F231" s="8" t="n">
        <f aca="true">IF(E231="","",ROUND((TODAY()-E231)/7,1))</f>
        <v>3.4</v>
      </c>
      <c r="G231" s="8" t="s">
        <v>38</v>
      </c>
      <c r="H231" s="8"/>
      <c r="I231" s="8" t="s">
        <v>445</v>
      </c>
      <c r="J231" s="8" t="s">
        <v>446</v>
      </c>
      <c r="K231" s="8"/>
      <c r="L231" s="10"/>
      <c r="M231" s="10"/>
      <c r="N231" s="10"/>
      <c r="O231" s="10"/>
      <c r="P231" s="8" t="str">
        <f aca="false">MID(IF(L231="","","; APP:"&amp;L231)&amp;IF(M231="","","; PS1:"&amp;M231)&amp;IF(N231="","","; AQP4:"&amp;N231)&amp;IF(O231="","","; CAG-EGFP:"&amp;O231),3,200)</f>
        <v/>
      </c>
      <c r="Q231" s="8" t="s">
        <v>34</v>
      </c>
      <c r="R231" s="8" t="s">
        <v>14</v>
      </c>
      <c r="S231" s="8"/>
      <c r="T231" s="8"/>
    </row>
    <row r="232" customFormat="false" ht="15" hidden="false" customHeight="false" outlineLevel="0" collapsed="false">
      <c r="A232" s="7" t="s">
        <v>455</v>
      </c>
      <c r="B232" s="8" t="s">
        <v>129</v>
      </c>
      <c r="C232" s="8" t="n">
        <v>93</v>
      </c>
      <c r="D232" s="8"/>
      <c r="E232" s="9" t="n">
        <v>46163</v>
      </c>
      <c r="F232" s="8" t="n">
        <f aca="true">IF(E232="","",ROUND((TODAY()-E232)/7,1))</f>
        <v>3.4</v>
      </c>
      <c r="G232" s="8" t="s">
        <v>38</v>
      </c>
      <c r="H232" s="8"/>
      <c r="I232" s="8" t="s">
        <v>445</v>
      </c>
      <c r="J232" s="8" t="s">
        <v>446</v>
      </c>
      <c r="K232" s="8"/>
      <c r="L232" s="10"/>
      <c r="M232" s="10"/>
      <c r="N232" s="10"/>
      <c r="O232" s="10"/>
      <c r="P232" s="8" t="str">
        <f aca="false">MID(IF(L232="","","; APP:"&amp;L232)&amp;IF(M232="","","; PS1:"&amp;M232)&amp;IF(N232="","","; AQP4:"&amp;N232)&amp;IF(O232="","","; CAG-EGFP:"&amp;O232),3,200)</f>
        <v/>
      </c>
      <c r="Q232" s="8" t="s">
        <v>34</v>
      </c>
      <c r="R232" s="8" t="s">
        <v>14</v>
      </c>
      <c r="S232" s="8"/>
      <c r="T232" s="8"/>
    </row>
    <row r="233" customFormat="false" ht="15" hidden="false" customHeight="false" outlineLevel="0" collapsed="false">
      <c r="A233" s="7" t="s">
        <v>456</v>
      </c>
      <c r="B233" s="8" t="s">
        <v>129</v>
      </c>
      <c r="C233" s="8" t="n">
        <v>94</v>
      </c>
      <c r="D233" s="8"/>
      <c r="E233" s="9" t="n">
        <v>46165</v>
      </c>
      <c r="F233" s="8" t="n">
        <f aca="true">IF(E233="","",ROUND((TODAY()-E233)/7,1))</f>
        <v>3.1</v>
      </c>
      <c r="G233" s="8" t="s">
        <v>38</v>
      </c>
      <c r="H233" s="8"/>
      <c r="I233" s="8" t="s">
        <v>457</v>
      </c>
      <c r="J233" s="8" t="s">
        <v>458</v>
      </c>
      <c r="K233" s="8"/>
      <c r="L233" s="10"/>
      <c r="M233" s="10"/>
      <c r="N233" s="10"/>
      <c r="O233" s="10"/>
      <c r="P233" s="8" t="str">
        <f aca="false">MID(IF(L233="","","; APP:"&amp;L233)&amp;IF(M233="","","; PS1:"&amp;M233)&amp;IF(N233="","","; AQP4:"&amp;N233)&amp;IF(O233="","","; CAG-EGFP:"&amp;O233),3,200)</f>
        <v/>
      </c>
      <c r="Q233" s="8" t="s">
        <v>34</v>
      </c>
      <c r="R233" s="8" t="s">
        <v>14</v>
      </c>
      <c r="S233" s="8"/>
      <c r="T233" s="8"/>
    </row>
    <row r="234" customFormat="false" ht="15" hidden="false" customHeight="false" outlineLevel="0" collapsed="false">
      <c r="A234" s="7" t="s">
        <v>459</v>
      </c>
      <c r="B234" s="8" t="s">
        <v>129</v>
      </c>
      <c r="C234" s="8" t="n">
        <v>95</v>
      </c>
      <c r="D234" s="8"/>
      <c r="E234" s="9" t="n">
        <v>46165</v>
      </c>
      <c r="F234" s="8" t="n">
        <f aca="true">IF(E234="","",ROUND((TODAY()-E234)/7,1))</f>
        <v>3.1</v>
      </c>
      <c r="G234" s="8" t="s">
        <v>38</v>
      </c>
      <c r="H234" s="8"/>
      <c r="I234" s="8" t="s">
        <v>457</v>
      </c>
      <c r="J234" s="8" t="s">
        <v>458</v>
      </c>
      <c r="K234" s="8"/>
      <c r="L234" s="10"/>
      <c r="M234" s="10"/>
      <c r="N234" s="10"/>
      <c r="O234" s="10"/>
      <c r="P234" s="8" t="str">
        <f aca="false">MID(IF(L234="","","; APP:"&amp;L234)&amp;IF(M234="","","; PS1:"&amp;M234)&amp;IF(N234="","","; AQP4:"&amp;N234)&amp;IF(O234="","","; CAG-EGFP:"&amp;O234),3,200)</f>
        <v/>
      </c>
      <c r="Q234" s="8" t="s">
        <v>34</v>
      </c>
      <c r="R234" s="8" t="s">
        <v>14</v>
      </c>
      <c r="S234" s="8"/>
      <c r="T234" s="8"/>
    </row>
    <row r="235" customFormat="false" ht="15" hidden="false" customHeight="false" outlineLevel="0" collapsed="false">
      <c r="A235" s="7" t="s">
        <v>460</v>
      </c>
      <c r="B235" s="8" t="s">
        <v>129</v>
      </c>
      <c r="C235" s="8" t="n">
        <v>96</v>
      </c>
      <c r="D235" s="8"/>
      <c r="E235" s="9" t="n">
        <v>46165</v>
      </c>
      <c r="F235" s="8" t="n">
        <f aca="true">IF(E235="","",ROUND((TODAY()-E235)/7,1))</f>
        <v>3.1</v>
      </c>
      <c r="G235" s="8" t="s">
        <v>38</v>
      </c>
      <c r="H235" s="8"/>
      <c r="I235" s="8" t="s">
        <v>457</v>
      </c>
      <c r="J235" s="8" t="s">
        <v>458</v>
      </c>
      <c r="K235" s="8"/>
      <c r="L235" s="10"/>
      <c r="M235" s="10"/>
      <c r="N235" s="10"/>
      <c r="O235" s="10"/>
      <c r="P235" s="8" t="str">
        <f aca="false">MID(IF(L235="","","; APP:"&amp;L235)&amp;IF(M235="","","; PS1:"&amp;M235)&amp;IF(N235="","","; AQP4:"&amp;N235)&amp;IF(O235="","","; CAG-EGFP:"&amp;O235),3,200)</f>
        <v/>
      </c>
      <c r="Q235" s="8" t="s">
        <v>34</v>
      </c>
      <c r="R235" s="8" t="s">
        <v>14</v>
      </c>
      <c r="S235" s="8"/>
      <c r="T235" s="8"/>
    </row>
    <row r="236" customFormat="false" ht="15" hidden="false" customHeight="false" outlineLevel="0" collapsed="false">
      <c r="A236" s="7" t="s">
        <v>461</v>
      </c>
      <c r="B236" s="8" t="s">
        <v>129</v>
      </c>
      <c r="C236" s="8" t="n">
        <v>97</v>
      </c>
      <c r="D236" s="8"/>
      <c r="E236" s="9" t="n">
        <v>46165</v>
      </c>
      <c r="F236" s="8" t="n">
        <f aca="true">IF(E236="","",ROUND((TODAY()-E236)/7,1))</f>
        <v>3.1</v>
      </c>
      <c r="G236" s="8" t="s">
        <v>38</v>
      </c>
      <c r="H236" s="8"/>
      <c r="I236" s="8" t="s">
        <v>457</v>
      </c>
      <c r="J236" s="8" t="s">
        <v>458</v>
      </c>
      <c r="K236" s="8"/>
      <c r="L236" s="10"/>
      <c r="M236" s="10"/>
      <c r="N236" s="10"/>
      <c r="O236" s="10"/>
      <c r="P236" s="8" t="str">
        <f aca="false">MID(IF(L236="","","; APP:"&amp;L236)&amp;IF(M236="","","; PS1:"&amp;M236)&amp;IF(N236="","","; AQP4:"&amp;N236)&amp;IF(O236="","","; CAG-EGFP:"&amp;O236),3,200)</f>
        <v/>
      </c>
      <c r="Q236" s="8" t="s">
        <v>34</v>
      </c>
      <c r="R236" s="8" t="s">
        <v>14</v>
      </c>
      <c r="S236" s="8"/>
      <c r="T236" s="8"/>
    </row>
    <row r="237" customFormat="false" ht="15" hidden="false" customHeight="false" outlineLevel="0" collapsed="false">
      <c r="A237" s="7" t="s">
        <v>462</v>
      </c>
      <c r="B237" s="8" t="s">
        <v>129</v>
      </c>
      <c r="C237" s="8" t="n">
        <v>98</v>
      </c>
      <c r="D237" s="8"/>
      <c r="E237" s="9" t="n">
        <v>46165</v>
      </c>
      <c r="F237" s="8" t="n">
        <f aca="true">IF(E237="","",ROUND((TODAY()-E237)/7,1))</f>
        <v>3.1</v>
      </c>
      <c r="G237" s="8" t="s">
        <v>38</v>
      </c>
      <c r="H237" s="8"/>
      <c r="I237" s="8" t="s">
        <v>457</v>
      </c>
      <c r="J237" s="8" t="s">
        <v>458</v>
      </c>
      <c r="K237" s="8"/>
      <c r="L237" s="10"/>
      <c r="M237" s="10"/>
      <c r="N237" s="10"/>
      <c r="O237" s="10"/>
      <c r="P237" s="8" t="str">
        <f aca="false">MID(IF(L237="","","; APP:"&amp;L237)&amp;IF(M237="","","; PS1:"&amp;M237)&amp;IF(N237="","","; AQP4:"&amp;N237)&amp;IF(O237="","","; CAG-EGFP:"&amp;O237),3,200)</f>
        <v/>
      </c>
      <c r="Q237" s="8" t="s">
        <v>34</v>
      </c>
      <c r="R237" s="8" t="s">
        <v>14</v>
      </c>
      <c r="S237" s="8"/>
      <c r="T237" s="8"/>
    </row>
    <row r="238" customFormat="false" ht="15" hidden="false" customHeight="false" outlineLevel="0" collapsed="false">
      <c r="A238" s="7" t="s">
        <v>463</v>
      </c>
      <c r="B238" s="8" t="s">
        <v>129</v>
      </c>
      <c r="C238" s="8" t="n">
        <v>99</v>
      </c>
      <c r="D238" s="8"/>
      <c r="E238" s="9" t="n">
        <v>46165</v>
      </c>
      <c r="F238" s="8" t="n">
        <f aca="true">IF(E238="","",ROUND((TODAY()-E238)/7,1))</f>
        <v>3.1</v>
      </c>
      <c r="G238" s="8" t="s">
        <v>38</v>
      </c>
      <c r="H238" s="8"/>
      <c r="I238" s="8" t="s">
        <v>457</v>
      </c>
      <c r="J238" s="8" t="s">
        <v>458</v>
      </c>
      <c r="K238" s="8"/>
      <c r="L238" s="10"/>
      <c r="M238" s="10"/>
      <c r="N238" s="10"/>
      <c r="O238" s="10"/>
      <c r="P238" s="8" t="str">
        <f aca="false">MID(IF(L238="","","; APP:"&amp;L238)&amp;IF(M238="","","; PS1:"&amp;M238)&amp;IF(N238="","","; AQP4:"&amp;N238)&amp;IF(O238="","","; CAG-EGFP:"&amp;O238),3,200)</f>
        <v/>
      </c>
      <c r="Q238" s="8" t="s">
        <v>34</v>
      </c>
      <c r="R238" s="8" t="s">
        <v>14</v>
      </c>
      <c r="S238" s="8"/>
      <c r="T238" s="8"/>
    </row>
    <row r="239" customFormat="false" ht="15" hidden="false" customHeight="false" outlineLevel="0" collapsed="false">
      <c r="A239" s="7" t="s">
        <v>464</v>
      </c>
      <c r="B239" s="8" t="s">
        <v>108</v>
      </c>
      <c r="C239" s="8" t="n">
        <v>1</v>
      </c>
      <c r="D239" s="8" t="s">
        <v>33</v>
      </c>
      <c r="E239" s="9" t="n">
        <v>44991</v>
      </c>
      <c r="F239" s="8" t="n">
        <f aca="true">IF(E239="","",ROUND((TODAY()-E239)/7,1))</f>
        <v>170.9</v>
      </c>
      <c r="G239" s="8" t="s">
        <v>38</v>
      </c>
      <c r="H239" s="8"/>
      <c r="I239" s="8" t="s">
        <v>465</v>
      </c>
      <c r="J239" s="8" t="s">
        <v>466</v>
      </c>
      <c r="K239" s="8" t="n">
        <v>2</v>
      </c>
      <c r="L239" s="10"/>
      <c r="M239" s="10"/>
      <c r="N239" s="10" t="s">
        <v>83</v>
      </c>
      <c r="O239" s="10"/>
      <c r="P239" s="8" t="str">
        <f aca="false">MID(IF(L239="","","; APP:"&amp;L239)&amp;IF(M239="","","; PS1:"&amp;M239)&amp;IF(N239="","","; AQP4:"&amp;N239)&amp;IF(O239="","","; CAG-EGFP:"&amp;O239),3,200)</f>
        <v>AQP4:-</v>
      </c>
      <c r="Q239" s="8" t="s">
        <v>47</v>
      </c>
      <c r="R239" s="8" t="s">
        <v>88</v>
      </c>
      <c r="S239" s="8"/>
      <c r="T239" s="8"/>
    </row>
    <row r="240" customFormat="false" ht="17.15" hidden="false" customHeight="false" outlineLevel="0" collapsed="false">
      <c r="A240" s="7" t="s">
        <v>467</v>
      </c>
      <c r="B240" s="8" t="s">
        <v>108</v>
      </c>
      <c r="C240" s="8" t="n">
        <v>2</v>
      </c>
      <c r="D240" s="8" t="s">
        <v>33</v>
      </c>
      <c r="E240" s="9" t="n">
        <v>44991</v>
      </c>
      <c r="F240" s="8" t="n">
        <f aca="true">IF(E240="","",ROUND((TODAY()-E240)/7,1))</f>
        <v>170.9</v>
      </c>
      <c r="G240" s="8" t="s">
        <v>38</v>
      </c>
      <c r="H240" s="8"/>
      <c r="I240" s="8" t="s">
        <v>465</v>
      </c>
      <c r="J240" s="8" t="s">
        <v>466</v>
      </c>
      <c r="K240" s="8" t="n">
        <v>2</v>
      </c>
      <c r="L240" s="10"/>
      <c r="M240" s="10"/>
      <c r="N240" s="10" t="s">
        <v>83</v>
      </c>
      <c r="O240" s="10"/>
      <c r="P240" s="8" t="str">
        <f aca="false">MID(IF(L240="","","; APP:"&amp;L240)&amp;IF(M240="","","; PS1:"&amp;M240)&amp;IF(N240="","","; AQP4:"&amp;N240)&amp;IF(O240="","","; CAG-EGFP:"&amp;O240),3,200)</f>
        <v>AQP4:-</v>
      </c>
      <c r="Q240" s="8" t="s">
        <v>47</v>
      </c>
      <c r="R240" s="8" t="s">
        <v>88</v>
      </c>
      <c r="S240" s="8"/>
      <c r="T240" s="8" t="s">
        <v>204</v>
      </c>
    </row>
    <row r="241" customFormat="false" ht="15" hidden="false" customHeight="false" outlineLevel="0" collapsed="false">
      <c r="A241" s="7" t="s">
        <v>468</v>
      </c>
      <c r="B241" s="8" t="s">
        <v>108</v>
      </c>
      <c r="C241" s="8" t="n">
        <v>3</v>
      </c>
      <c r="D241" s="8" t="s">
        <v>46</v>
      </c>
      <c r="E241" s="9" t="n">
        <v>44993</v>
      </c>
      <c r="F241" s="8" t="n">
        <f aca="true">IF(E241="","",ROUND((TODAY()-E241)/7,1))</f>
        <v>170.6</v>
      </c>
      <c r="G241" s="8" t="s">
        <v>38</v>
      </c>
      <c r="H241" s="8"/>
      <c r="I241" s="8" t="s">
        <v>465</v>
      </c>
      <c r="J241" s="8" t="s">
        <v>466</v>
      </c>
      <c r="K241" s="8" t="n">
        <v>2</v>
      </c>
      <c r="L241" s="10"/>
      <c r="M241" s="10"/>
      <c r="N241" s="10" t="s">
        <v>83</v>
      </c>
      <c r="O241" s="10"/>
      <c r="P241" s="8" t="str">
        <f aca="false">MID(IF(L241="","","; APP:"&amp;L241)&amp;IF(M241="","","; PS1:"&amp;M241)&amp;IF(N241="","","; AQP4:"&amp;N241)&amp;IF(O241="","","; CAG-EGFP:"&amp;O241),3,200)</f>
        <v>AQP4:-</v>
      </c>
      <c r="Q241" s="8" t="s">
        <v>47</v>
      </c>
      <c r="R241" s="8" t="s">
        <v>88</v>
      </c>
      <c r="S241" s="8"/>
      <c r="T241" s="8"/>
    </row>
    <row r="242" customFormat="false" ht="17.15" hidden="false" customHeight="false" outlineLevel="0" collapsed="false">
      <c r="A242" s="7" t="s">
        <v>469</v>
      </c>
      <c r="B242" s="8" t="s">
        <v>108</v>
      </c>
      <c r="C242" s="8" t="n">
        <v>4</v>
      </c>
      <c r="D242" s="8" t="s">
        <v>46</v>
      </c>
      <c r="E242" s="9" t="n">
        <v>44993</v>
      </c>
      <c r="F242" s="8" t="n">
        <f aca="true">IF(E242="","",ROUND((TODAY()-E242)/7,1))</f>
        <v>170.6</v>
      </c>
      <c r="G242" s="8" t="s">
        <v>38</v>
      </c>
      <c r="H242" s="8"/>
      <c r="I242" s="8" t="s">
        <v>465</v>
      </c>
      <c r="J242" s="8" t="s">
        <v>466</v>
      </c>
      <c r="K242" s="8" t="n">
        <v>2</v>
      </c>
      <c r="L242" s="10"/>
      <c r="M242" s="10"/>
      <c r="N242" s="10" t="s">
        <v>83</v>
      </c>
      <c r="O242" s="10"/>
      <c r="P242" s="8" t="str">
        <f aca="false">MID(IF(L242="","","; APP:"&amp;L242)&amp;IF(M242="","","; PS1:"&amp;M242)&amp;IF(N242="","","; AQP4:"&amp;N242)&amp;IF(O242="","","; CAG-EGFP:"&amp;O242),3,200)</f>
        <v>AQP4:-</v>
      </c>
      <c r="Q242" s="8" t="s">
        <v>47</v>
      </c>
      <c r="R242" s="8" t="s">
        <v>88</v>
      </c>
      <c r="S242" s="8"/>
      <c r="T242" s="8" t="s">
        <v>204</v>
      </c>
    </row>
    <row r="243" customFormat="false" ht="15" hidden="false" customHeight="false" outlineLevel="0" collapsed="false">
      <c r="A243" s="7" t="s">
        <v>470</v>
      </c>
      <c r="B243" s="8" t="s">
        <v>108</v>
      </c>
      <c r="C243" s="8" t="n">
        <v>5</v>
      </c>
      <c r="D243" s="8" t="s">
        <v>33</v>
      </c>
      <c r="E243" s="9" t="n">
        <v>44987</v>
      </c>
      <c r="F243" s="8" t="n">
        <f aca="true">IF(E243="","",ROUND((TODAY()-E243)/7,1))</f>
        <v>171.4</v>
      </c>
      <c r="G243" s="8" t="s">
        <v>38</v>
      </c>
      <c r="H243" s="8"/>
      <c r="I243" s="8" t="s">
        <v>471</v>
      </c>
      <c r="J243" s="8" t="s">
        <v>472</v>
      </c>
      <c r="K243" s="8" t="n">
        <v>2</v>
      </c>
      <c r="L243" s="10"/>
      <c r="M243" s="10"/>
      <c r="N243" s="10" t="s">
        <v>83</v>
      </c>
      <c r="O243" s="10"/>
      <c r="P243" s="8" t="str">
        <f aca="false">MID(IF(L243="","","; APP:"&amp;L243)&amp;IF(M243="","","; PS1:"&amp;M243)&amp;IF(N243="","","; AQP4:"&amp;N243)&amp;IF(O243="","","; CAG-EGFP:"&amp;O243),3,200)</f>
        <v>AQP4:-</v>
      </c>
      <c r="Q243" s="8" t="s">
        <v>47</v>
      </c>
      <c r="R243" s="8" t="s">
        <v>88</v>
      </c>
      <c r="S243" s="8"/>
      <c r="T243" s="8"/>
    </row>
    <row r="244" customFormat="false" ht="15" hidden="false" customHeight="false" outlineLevel="0" collapsed="false">
      <c r="A244" s="7" t="s">
        <v>473</v>
      </c>
      <c r="B244" s="8" t="s">
        <v>108</v>
      </c>
      <c r="C244" s="8" t="n">
        <v>6</v>
      </c>
      <c r="D244" s="8" t="s">
        <v>33</v>
      </c>
      <c r="E244" s="9" t="n">
        <v>44987</v>
      </c>
      <c r="F244" s="8" t="n">
        <f aca="true">IF(E244="","",ROUND((TODAY()-E244)/7,1))</f>
        <v>171.4</v>
      </c>
      <c r="G244" s="8" t="s">
        <v>38</v>
      </c>
      <c r="H244" s="8"/>
      <c r="I244" s="8" t="s">
        <v>471</v>
      </c>
      <c r="J244" s="8" t="s">
        <v>472</v>
      </c>
      <c r="K244" s="8" t="n">
        <v>2</v>
      </c>
      <c r="L244" s="10"/>
      <c r="M244" s="10"/>
      <c r="N244" s="10" t="s">
        <v>83</v>
      </c>
      <c r="O244" s="10"/>
      <c r="P244" s="8" t="str">
        <f aca="false">MID(IF(L244="","","; APP:"&amp;L244)&amp;IF(M244="","","; PS1:"&amp;M244)&amp;IF(N244="","","; AQP4:"&amp;N244)&amp;IF(O244="","","; CAG-EGFP:"&amp;O244),3,200)</f>
        <v>AQP4:-</v>
      </c>
      <c r="Q244" s="8" t="s">
        <v>47</v>
      </c>
      <c r="R244" s="8" t="s">
        <v>88</v>
      </c>
      <c r="S244" s="8"/>
      <c r="T244" s="8"/>
    </row>
    <row r="245" customFormat="false" ht="15" hidden="false" customHeight="false" outlineLevel="0" collapsed="false">
      <c r="A245" s="7" t="s">
        <v>474</v>
      </c>
      <c r="B245" s="8" t="s">
        <v>108</v>
      </c>
      <c r="C245" s="8" t="n">
        <v>7</v>
      </c>
      <c r="D245" s="8" t="s">
        <v>33</v>
      </c>
      <c r="E245" s="9" t="n">
        <v>44987</v>
      </c>
      <c r="F245" s="8" t="n">
        <f aca="true">IF(E245="","",ROUND((TODAY()-E245)/7,1))</f>
        <v>171.4</v>
      </c>
      <c r="G245" s="8" t="s">
        <v>38</v>
      </c>
      <c r="H245" s="8"/>
      <c r="I245" s="8" t="s">
        <v>471</v>
      </c>
      <c r="J245" s="8" t="s">
        <v>472</v>
      </c>
      <c r="K245" s="8" t="n">
        <v>2</v>
      </c>
      <c r="L245" s="10"/>
      <c r="M245" s="10"/>
      <c r="N245" s="10" t="s">
        <v>83</v>
      </c>
      <c r="O245" s="10"/>
      <c r="P245" s="8" t="str">
        <f aca="false">MID(IF(L245="","","; APP:"&amp;L245)&amp;IF(M245="","","; PS1:"&amp;M245)&amp;IF(N245="","","; AQP4:"&amp;N245)&amp;IF(O245="","","; CAG-EGFP:"&amp;O245),3,200)</f>
        <v>AQP4:-</v>
      </c>
      <c r="Q245" s="8" t="s">
        <v>47</v>
      </c>
      <c r="R245" s="8" t="s">
        <v>88</v>
      </c>
      <c r="S245" s="8"/>
      <c r="T245" s="8"/>
    </row>
    <row r="246" customFormat="false" ht="15" hidden="false" customHeight="false" outlineLevel="0" collapsed="false">
      <c r="A246" s="7" t="s">
        <v>475</v>
      </c>
      <c r="B246" s="8" t="s">
        <v>108</v>
      </c>
      <c r="C246" s="8" t="n">
        <v>8</v>
      </c>
      <c r="D246" s="8" t="s">
        <v>33</v>
      </c>
      <c r="E246" s="9" t="n">
        <v>44987</v>
      </c>
      <c r="F246" s="8" t="n">
        <f aca="true">IF(E246="","",ROUND((TODAY()-E246)/7,1))</f>
        <v>171.4</v>
      </c>
      <c r="G246" s="8" t="s">
        <v>38</v>
      </c>
      <c r="H246" s="8"/>
      <c r="I246" s="8" t="s">
        <v>471</v>
      </c>
      <c r="J246" s="8" t="s">
        <v>472</v>
      </c>
      <c r="K246" s="8" t="n">
        <v>2</v>
      </c>
      <c r="L246" s="10"/>
      <c r="M246" s="10"/>
      <c r="N246" s="10" t="s">
        <v>83</v>
      </c>
      <c r="O246" s="10"/>
      <c r="P246" s="8" t="str">
        <f aca="false">MID(IF(L246="","","; APP:"&amp;L246)&amp;IF(M246="","","; PS1:"&amp;M246)&amp;IF(N246="","","; AQP4:"&amp;N246)&amp;IF(O246="","","; CAG-EGFP:"&amp;O246),3,200)</f>
        <v>AQP4:-</v>
      </c>
      <c r="Q246" s="8" t="s">
        <v>47</v>
      </c>
      <c r="R246" s="8" t="s">
        <v>88</v>
      </c>
      <c r="S246" s="8"/>
      <c r="T246" s="8"/>
    </row>
    <row r="247" customFormat="false" ht="15" hidden="false" customHeight="false" outlineLevel="0" collapsed="false">
      <c r="A247" s="7" t="s">
        <v>476</v>
      </c>
      <c r="B247" s="8" t="s">
        <v>108</v>
      </c>
      <c r="C247" s="8" t="n">
        <v>9</v>
      </c>
      <c r="D247" s="8" t="s">
        <v>46</v>
      </c>
      <c r="E247" s="9" t="n">
        <v>44987</v>
      </c>
      <c r="F247" s="8" t="n">
        <f aca="true">IF(E247="","",ROUND((TODAY()-E247)/7,1))</f>
        <v>171.4</v>
      </c>
      <c r="G247" s="8" t="s">
        <v>38</v>
      </c>
      <c r="H247" s="8"/>
      <c r="I247" s="8" t="s">
        <v>471</v>
      </c>
      <c r="J247" s="8" t="s">
        <v>472</v>
      </c>
      <c r="K247" s="8" t="n">
        <v>2</v>
      </c>
      <c r="L247" s="10"/>
      <c r="M247" s="10"/>
      <c r="N247" s="10" t="s">
        <v>83</v>
      </c>
      <c r="O247" s="10"/>
      <c r="P247" s="8" t="str">
        <f aca="false">MID(IF(L247="","","; APP:"&amp;L247)&amp;IF(M247="","","; PS1:"&amp;M247)&amp;IF(N247="","","; AQP4:"&amp;N247)&amp;IF(O247="","","; CAG-EGFP:"&amp;O247),3,200)</f>
        <v>AQP4:-</v>
      </c>
      <c r="Q247" s="8" t="s">
        <v>47</v>
      </c>
      <c r="R247" s="8" t="s">
        <v>88</v>
      </c>
      <c r="S247" s="8"/>
      <c r="T247" s="8"/>
    </row>
    <row r="248" customFormat="false" ht="15" hidden="false" customHeight="false" outlineLevel="0" collapsed="false">
      <c r="A248" s="7" t="s">
        <v>477</v>
      </c>
      <c r="B248" s="8" t="s">
        <v>108</v>
      </c>
      <c r="C248" s="8" t="n">
        <v>10</v>
      </c>
      <c r="D248" s="8" t="s">
        <v>46</v>
      </c>
      <c r="E248" s="9" t="n">
        <v>44987</v>
      </c>
      <c r="F248" s="8" t="n">
        <f aca="true">IF(E248="","",ROUND((TODAY()-E248)/7,1))</f>
        <v>171.4</v>
      </c>
      <c r="G248" s="8" t="s">
        <v>38</v>
      </c>
      <c r="H248" s="8"/>
      <c r="I248" s="8" t="s">
        <v>471</v>
      </c>
      <c r="J248" s="8" t="s">
        <v>472</v>
      </c>
      <c r="K248" s="8" t="n">
        <v>2</v>
      </c>
      <c r="L248" s="10"/>
      <c r="M248" s="10"/>
      <c r="N248" s="10" t="s">
        <v>83</v>
      </c>
      <c r="O248" s="10"/>
      <c r="P248" s="8" t="str">
        <f aca="false">MID(IF(L248="","","; APP:"&amp;L248)&amp;IF(M248="","","; PS1:"&amp;M248)&amp;IF(N248="","","; AQP4:"&amp;N248)&amp;IF(O248="","","; CAG-EGFP:"&amp;O248),3,200)</f>
        <v>AQP4:-</v>
      </c>
      <c r="Q248" s="8" t="s">
        <v>47</v>
      </c>
      <c r="R248" s="8" t="s">
        <v>88</v>
      </c>
      <c r="S248" s="8"/>
      <c r="T248" s="8"/>
    </row>
    <row r="249" customFormat="false" ht="15" hidden="false" customHeight="false" outlineLevel="0" collapsed="false">
      <c r="A249" s="7" t="s">
        <v>478</v>
      </c>
      <c r="B249" s="8" t="s">
        <v>108</v>
      </c>
      <c r="C249" s="8" t="n">
        <v>11</v>
      </c>
      <c r="D249" s="8" t="s">
        <v>46</v>
      </c>
      <c r="E249" s="9" t="n">
        <v>44987</v>
      </c>
      <c r="F249" s="8" t="n">
        <f aca="true">IF(E249="","",ROUND((TODAY()-E249)/7,1))</f>
        <v>171.4</v>
      </c>
      <c r="G249" s="8" t="s">
        <v>38</v>
      </c>
      <c r="H249" s="8"/>
      <c r="I249" s="8" t="s">
        <v>471</v>
      </c>
      <c r="J249" s="8" t="s">
        <v>472</v>
      </c>
      <c r="K249" s="8" t="n">
        <v>2</v>
      </c>
      <c r="L249" s="10"/>
      <c r="M249" s="10"/>
      <c r="N249" s="10" t="s">
        <v>83</v>
      </c>
      <c r="O249" s="10"/>
      <c r="P249" s="8" t="str">
        <f aca="false">MID(IF(L249="","","; APP:"&amp;L249)&amp;IF(M249="","","; PS1:"&amp;M249)&amp;IF(N249="","","; AQP4:"&amp;N249)&amp;IF(O249="","","; CAG-EGFP:"&amp;O249),3,200)</f>
        <v>AQP4:-</v>
      </c>
      <c r="Q249" s="8" t="s">
        <v>47</v>
      </c>
      <c r="R249" s="8" t="s">
        <v>88</v>
      </c>
      <c r="S249" s="8"/>
      <c r="T249" s="8"/>
    </row>
    <row r="250" customFormat="false" ht="15" hidden="false" customHeight="false" outlineLevel="0" collapsed="false">
      <c r="A250" s="7" t="s">
        <v>479</v>
      </c>
      <c r="B250" s="8" t="s">
        <v>108</v>
      </c>
      <c r="C250" s="8" t="n">
        <v>12</v>
      </c>
      <c r="D250" s="8" t="s">
        <v>46</v>
      </c>
      <c r="E250" s="9" t="n">
        <v>44987</v>
      </c>
      <c r="F250" s="8" t="n">
        <f aca="true">IF(E250="","",ROUND((TODAY()-E250)/7,1))</f>
        <v>171.4</v>
      </c>
      <c r="G250" s="8" t="s">
        <v>38</v>
      </c>
      <c r="H250" s="8"/>
      <c r="I250" s="8" t="s">
        <v>471</v>
      </c>
      <c r="J250" s="8" t="s">
        <v>472</v>
      </c>
      <c r="K250" s="8" t="n">
        <v>2</v>
      </c>
      <c r="L250" s="10"/>
      <c r="M250" s="10"/>
      <c r="N250" s="10" t="s">
        <v>83</v>
      </c>
      <c r="O250" s="10"/>
      <c r="P250" s="8" t="str">
        <f aca="false">MID(IF(L250="","","; APP:"&amp;L250)&amp;IF(M250="","","; PS1:"&amp;M250)&amp;IF(N250="","","; AQP4:"&amp;N250)&amp;IF(O250="","","; CAG-EGFP:"&amp;O250),3,200)</f>
        <v>AQP4:-</v>
      </c>
      <c r="Q250" s="8" t="s">
        <v>47</v>
      </c>
      <c r="R250" s="8" t="s">
        <v>88</v>
      </c>
      <c r="S250" s="8"/>
      <c r="T250" s="8"/>
    </row>
    <row r="251" customFormat="false" ht="15" hidden="false" customHeight="false" outlineLevel="0" collapsed="false">
      <c r="A251" s="7" t="s">
        <v>480</v>
      </c>
      <c r="B251" s="8" t="s">
        <v>108</v>
      </c>
      <c r="C251" s="8" t="n">
        <v>13</v>
      </c>
      <c r="D251" s="8" t="s">
        <v>33</v>
      </c>
      <c r="E251" s="9" t="n">
        <v>45226</v>
      </c>
      <c r="F251" s="8" t="n">
        <f aca="true">IF(E251="","",ROUND((TODAY()-E251)/7,1))</f>
        <v>137.3</v>
      </c>
      <c r="G251" s="8" t="s">
        <v>38</v>
      </c>
      <c r="H251" s="8"/>
      <c r="I251" s="8" t="s">
        <v>481</v>
      </c>
      <c r="J251" s="8" t="s">
        <v>482</v>
      </c>
      <c r="K251" s="8" t="n">
        <v>3</v>
      </c>
      <c r="L251" s="10"/>
      <c r="M251" s="10"/>
      <c r="N251" s="10" t="s">
        <v>83</v>
      </c>
      <c r="O251" s="10"/>
      <c r="P251" s="8" t="str">
        <f aca="false">MID(IF(L251="","","; APP:"&amp;L251)&amp;IF(M251="","","; PS1:"&amp;M251)&amp;IF(N251="","","; AQP4:"&amp;N251)&amp;IF(O251="","","; CAG-EGFP:"&amp;O251),3,200)</f>
        <v>AQP4:-</v>
      </c>
      <c r="Q251" s="8" t="s">
        <v>47</v>
      </c>
      <c r="R251" s="8" t="s">
        <v>88</v>
      </c>
      <c r="S251" s="8"/>
      <c r="T251" s="8"/>
    </row>
    <row r="252" customFormat="false" ht="17.15" hidden="false" customHeight="false" outlineLevel="0" collapsed="false">
      <c r="A252" s="7" t="s">
        <v>483</v>
      </c>
      <c r="B252" s="8" t="s">
        <v>108</v>
      </c>
      <c r="C252" s="8" t="n">
        <v>14</v>
      </c>
      <c r="D252" s="8" t="s">
        <v>33</v>
      </c>
      <c r="E252" s="9" t="n">
        <v>45226</v>
      </c>
      <c r="F252" s="8" t="n">
        <f aca="true">IF(E252="","",ROUND((TODAY()-E252)/7,1))</f>
        <v>137.3</v>
      </c>
      <c r="G252" s="8" t="s">
        <v>38</v>
      </c>
      <c r="H252" s="8"/>
      <c r="I252" s="8" t="s">
        <v>481</v>
      </c>
      <c r="J252" s="8" t="s">
        <v>482</v>
      </c>
      <c r="K252" s="8" t="n">
        <v>3</v>
      </c>
      <c r="L252" s="10"/>
      <c r="M252" s="10"/>
      <c r="N252" s="10" t="s">
        <v>83</v>
      </c>
      <c r="O252" s="10"/>
      <c r="P252" s="8" t="str">
        <f aca="false">MID(IF(L252="","","; APP:"&amp;L252)&amp;IF(M252="","","; PS1:"&amp;M252)&amp;IF(N252="","","; AQP4:"&amp;N252)&amp;IF(O252="","","; CAG-EGFP:"&amp;O252),3,200)</f>
        <v>AQP4:-</v>
      </c>
      <c r="Q252" s="8" t="s">
        <v>47</v>
      </c>
      <c r="R252" s="8" t="s">
        <v>88</v>
      </c>
      <c r="S252" s="8"/>
      <c r="T252" s="8" t="s">
        <v>204</v>
      </c>
    </row>
    <row r="253" customFormat="false" ht="17.15" hidden="false" customHeight="false" outlineLevel="0" collapsed="false">
      <c r="A253" s="7" t="s">
        <v>484</v>
      </c>
      <c r="B253" s="8" t="s">
        <v>108</v>
      </c>
      <c r="C253" s="8" t="n">
        <v>15</v>
      </c>
      <c r="D253" s="8" t="s">
        <v>33</v>
      </c>
      <c r="E253" s="9" t="n">
        <v>45226</v>
      </c>
      <c r="F253" s="8" t="n">
        <f aca="true">IF(E253="","",ROUND((TODAY()-E253)/7,1))</f>
        <v>137.3</v>
      </c>
      <c r="G253" s="8" t="s">
        <v>38</v>
      </c>
      <c r="H253" s="8"/>
      <c r="I253" s="8" t="s">
        <v>481</v>
      </c>
      <c r="J253" s="8" t="s">
        <v>482</v>
      </c>
      <c r="K253" s="8" t="n">
        <v>3</v>
      </c>
      <c r="L253" s="10"/>
      <c r="M253" s="10"/>
      <c r="N253" s="10" t="s">
        <v>83</v>
      </c>
      <c r="O253" s="10"/>
      <c r="P253" s="8" t="str">
        <f aca="false">MID(IF(L253="","","; APP:"&amp;L253)&amp;IF(M253="","","; PS1:"&amp;M253)&amp;IF(N253="","","; AQP4:"&amp;N253)&amp;IF(O253="","","; CAG-EGFP:"&amp;O253),3,200)</f>
        <v>AQP4:-</v>
      </c>
      <c r="Q253" s="8" t="s">
        <v>47</v>
      </c>
      <c r="R253" s="8" t="s">
        <v>88</v>
      </c>
      <c r="S253" s="8"/>
      <c r="T253" s="8" t="s">
        <v>217</v>
      </c>
    </row>
    <row r="254" customFormat="false" ht="17.15" hidden="false" customHeight="false" outlineLevel="0" collapsed="false">
      <c r="A254" s="7" t="s">
        <v>485</v>
      </c>
      <c r="B254" s="8" t="s">
        <v>108</v>
      </c>
      <c r="C254" s="8" t="n">
        <v>16</v>
      </c>
      <c r="D254" s="8" t="s">
        <v>33</v>
      </c>
      <c r="E254" s="9" t="n">
        <v>45226</v>
      </c>
      <c r="F254" s="8" t="n">
        <f aca="true">IF(E254="","",ROUND((TODAY()-E254)/7,1))</f>
        <v>137.3</v>
      </c>
      <c r="G254" s="8" t="s">
        <v>38</v>
      </c>
      <c r="H254" s="8"/>
      <c r="I254" s="8" t="s">
        <v>481</v>
      </c>
      <c r="J254" s="8" t="s">
        <v>482</v>
      </c>
      <c r="K254" s="8" t="n">
        <v>3</v>
      </c>
      <c r="L254" s="10"/>
      <c r="M254" s="10"/>
      <c r="N254" s="10" t="s">
        <v>83</v>
      </c>
      <c r="O254" s="10"/>
      <c r="P254" s="8" t="str">
        <f aca="false">MID(IF(L254="","","; APP:"&amp;L254)&amp;IF(M254="","","; PS1:"&amp;M254)&amp;IF(N254="","","; AQP4:"&amp;N254)&amp;IF(O254="","","; CAG-EGFP:"&amp;O254),3,200)</f>
        <v>AQP4:-</v>
      </c>
      <c r="Q254" s="8" t="s">
        <v>47</v>
      </c>
      <c r="R254" s="8" t="s">
        <v>88</v>
      </c>
      <c r="S254" s="8"/>
      <c r="T254" s="8" t="s">
        <v>219</v>
      </c>
    </row>
    <row r="255" customFormat="false" ht="17.15" hidden="false" customHeight="false" outlineLevel="0" collapsed="false">
      <c r="A255" s="7" t="s">
        <v>486</v>
      </c>
      <c r="B255" s="8" t="s">
        <v>108</v>
      </c>
      <c r="C255" s="8" t="n">
        <v>17</v>
      </c>
      <c r="D255" s="8" t="s">
        <v>33</v>
      </c>
      <c r="E255" s="9" t="n">
        <v>45226</v>
      </c>
      <c r="F255" s="8" t="n">
        <f aca="true">IF(E255="","",ROUND((TODAY()-E255)/7,1))</f>
        <v>137.3</v>
      </c>
      <c r="G255" s="8" t="s">
        <v>38</v>
      </c>
      <c r="H255" s="8"/>
      <c r="I255" s="8" t="s">
        <v>481</v>
      </c>
      <c r="J255" s="8" t="s">
        <v>482</v>
      </c>
      <c r="K255" s="8" t="n">
        <v>3</v>
      </c>
      <c r="L255" s="10"/>
      <c r="M255" s="10"/>
      <c r="N255" s="10" t="s">
        <v>83</v>
      </c>
      <c r="O255" s="10"/>
      <c r="P255" s="8" t="str">
        <f aca="false">MID(IF(L255="","","; APP:"&amp;L255)&amp;IF(M255="","","; PS1:"&amp;M255)&amp;IF(N255="","","; AQP4:"&amp;N255)&amp;IF(O255="","","; CAG-EGFP:"&amp;O255),3,200)</f>
        <v>AQP4:-</v>
      </c>
      <c r="Q255" s="8" t="s">
        <v>47</v>
      </c>
      <c r="R255" s="8" t="s">
        <v>88</v>
      </c>
      <c r="S255" s="8"/>
      <c r="T255" s="8" t="s">
        <v>225</v>
      </c>
    </row>
    <row r="256" customFormat="false" ht="15" hidden="false" customHeight="false" outlineLevel="0" collapsed="false">
      <c r="A256" s="7" t="s">
        <v>487</v>
      </c>
      <c r="B256" s="8" t="s">
        <v>108</v>
      </c>
      <c r="C256" s="8" t="n">
        <v>18</v>
      </c>
      <c r="D256" s="8" t="s">
        <v>46</v>
      </c>
      <c r="E256" s="9" t="n">
        <v>45226</v>
      </c>
      <c r="F256" s="8" t="n">
        <f aca="true">IF(E256="","",ROUND((TODAY()-E256)/7,1))</f>
        <v>137.3</v>
      </c>
      <c r="G256" s="8" t="s">
        <v>38</v>
      </c>
      <c r="H256" s="8"/>
      <c r="I256" s="8" t="s">
        <v>481</v>
      </c>
      <c r="J256" s="8" t="s">
        <v>482</v>
      </c>
      <c r="K256" s="8" t="n">
        <v>3</v>
      </c>
      <c r="L256" s="10"/>
      <c r="M256" s="10"/>
      <c r="N256" s="10" t="s">
        <v>83</v>
      </c>
      <c r="O256" s="10"/>
      <c r="P256" s="8" t="str">
        <f aca="false">MID(IF(L256="","","; APP:"&amp;L256)&amp;IF(M256="","","; PS1:"&amp;M256)&amp;IF(N256="","","; AQP4:"&amp;N256)&amp;IF(O256="","","; CAG-EGFP:"&amp;O256),3,200)</f>
        <v>AQP4:-</v>
      </c>
      <c r="Q256" s="8" t="s">
        <v>47</v>
      </c>
      <c r="R256" s="8" t="s">
        <v>88</v>
      </c>
      <c r="S256" s="8"/>
      <c r="T256" s="8"/>
    </row>
    <row r="257" customFormat="false" ht="15" hidden="false" customHeight="false" outlineLevel="0" collapsed="false">
      <c r="A257" s="7" t="s">
        <v>488</v>
      </c>
      <c r="B257" s="8" t="s">
        <v>108</v>
      </c>
      <c r="C257" s="8" t="n">
        <v>19</v>
      </c>
      <c r="D257" s="8" t="s">
        <v>33</v>
      </c>
      <c r="E257" s="9" t="n">
        <v>45303</v>
      </c>
      <c r="F257" s="8" t="n">
        <f aca="true">IF(E257="","",ROUND((TODAY()-E257)/7,1))</f>
        <v>126.3</v>
      </c>
      <c r="G257" s="8" t="s">
        <v>38</v>
      </c>
      <c r="H257" s="8"/>
      <c r="I257" s="8" t="s">
        <v>481</v>
      </c>
      <c r="J257" s="8" t="s">
        <v>482</v>
      </c>
      <c r="K257" s="8" t="n">
        <v>3</v>
      </c>
      <c r="L257" s="10"/>
      <c r="M257" s="10"/>
      <c r="N257" s="10" t="s">
        <v>83</v>
      </c>
      <c r="O257" s="10"/>
      <c r="P257" s="8" t="str">
        <f aca="false">MID(IF(L257="","","; APP:"&amp;L257)&amp;IF(M257="","","; PS1:"&amp;M257)&amp;IF(N257="","","; AQP4:"&amp;N257)&amp;IF(O257="","","; CAG-EGFP:"&amp;O257),3,200)</f>
        <v>AQP4:-</v>
      </c>
      <c r="Q257" s="8" t="s">
        <v>47</v>
      </c>
      <c r="R257" s="8" t="s">
        <v>88</v>
      </c>
      <c r="S257" s="8"/>
      <c r="T257" s="8"/>
    </row>
    <row r="258" customFormat="false" ht="15" hidden="false" customHeight="false" outlineLevel="0" collapsed="false">
      <c r="A258" s="7" t="s">
        <v>489</v>
      </c>
      <c r="B258" s="8" t="s">
        <v>108</v>
      </c>
      <c r="C258" s="8" t="n">
        <v>20</v>
      </c>
      <c r="D258" s="8" t="s">
        <v>33</v>
      </c>
      <c r="E258" s="9" t="n">
        <v>45303</v>
      </c>
      <c r="F258" s="8" t="n">
        <f aca="true">IF(E258="","",ROUND((TODAY()-E258)/7,1))</f>
        <v>126.3</v>
      </c>
      <c r="G258" s="8" t="s">
        <v>38</v>
      </c>
      <c r="H258" s="8"/>
      <c r="I258" s="8" t="s">
        <v>481</v>
      </c>
      <c r="J258" s="8" t="s">
        <v>482</v>
      </c>
      <c r="K258" s="8" t="n">
        <v>3</v>
      </c>
      <c r="L258" s="10"/>
      <c r="M258" s="10"/>
      <c r="N258" s="10" t="s">
        <v>83</v>
      </c>
      <c r="O258" s="10"/>
      <c r="P258" s="8" t="str">
        <f aca="false">MID(IF(L258="","","; APP:"&amp;L258)&amp;IF(M258="","","; PS1:"&amp;M258)&amp;IF(N258="","","; AQP4:"&amp;N258)&amp;IF(O258="","","; CAG-EGFP:"&amp;O258),3,200)</f>
        <v>AQP4:-</v>
      </c>
      <c r="Q258" s="8" t="s">
        <v>47</v>
      </c>
      <c r="R258" s="8" t="s">
        <v>88</v>
      </c>
      <c r="S258" s="8"/>
      <c r="T258" s="8"/>
    </row>
    <row r="259" customFormat="false" ht="15" hidden="false" customHeight="false" outlineLevel="0" collapsed="false">
      <c r="A259" s="7" t="s">
        <v>490</v>
      </c>
      <c r="B259" s="8" t="s">
        <v>108</v>
      </c>
      <c r="C259" s="8" t="n">
        <v>21</v>
      </c>
      <c r="D259" s="8" t="s">
        <v>33</v>
      </c>
      <c r="E259" s="9" t="n">
        <v>45303</v>
      </c>
      <c r="F259" s="8" t="n">
        <f aca="true">IF(E259="","",ROUND((TODAY()-E259)/7,1))</f>
        <v>126.3</v>
      </c>
      <c r="G259" s="8" t="s">
        <v>38</v>
      </c>
      <c r="H259" s="8"/>
      <c r="I259" s="8" t="s">
        <v>481</v>
      </c>
      <c r="J259" s="8" t="s">
        <v>482</v>
      </c>
      <c r="K259" s="8" t="n">
        <v>3</v>
      </c>
      <c r="L259" s="10"/>
      <c r="M259" s="10"/>
      <c r="N259" s="10" t="s">
        <v>83</v>
      </c>
      <c r="O259" s="10"/>
      <c r="P259" s="8" t="str">
        <f aca="false">MID(IF(L259="","","; APP:"&amp;L259)&amp;IF(M259="","","; PS1:"&amp;M259)&amp;IF(N259="","","; AQP4:"&amp;N259)&amp;IF(O259="","","; CAG-EGFP:"&amp;O259),3,200)</f>
        <v>AQP4:-</v>
      </c>
      <c r="Q259" s="8" t="s">
        <v>47</v>
      </c>
      <c r="R259" s="8" t="s">
        <v>88</v>
      </c>
      <c r="S259" s="8"/>
      <c r="T259" s="8"/>
    </row>
    <row r="260" customFormat="false" ht="15" hidden="false" customHeight="false" outlineLevel="0" collapsed="false">
      <c r="A260" s="7" t="s">
        <v>491</v>
      </c>
      <c r="B260" s="8" t="s">
        <v>108</v>
      </c>
      <c r="C260" s="8" t="n">
        <v>22</v>
      </c>
      <c r="D260" s="8" t="s">
        <v>33</v>
      </c>
      <c r="E260" s="9" t="n">
        <v>45303</v>
      </c>
      <c r="F260" s="8" t="n">
        <f aca="true">IF(E260="","",ROUND((TODAY()-E260)/7,1))</f>
        <v>126.3</v>
      </c>
      <c r="G260" s="8" t="s">
        <v>38</v>
      </c>
      <c r="H260" s="8"/>
      <c r="I260" s="8" t="s">
        <v>481</v>
      </c>
      <c r="J260" s="8" t="s">
        <v>482</v>
      </c>
      <c r="K260" s="8" t="n">
        <v>3</v>
      </c>
      <c r="L260" s="10"/>
      <c r="M260" s="10"/>
      <c r="N260" s="10" t="s">
        <v>83</v>
      </c>
      <c r="O260" s="10"/>
      <c r="P260" s="8" t="str">
        <f aca="false">MID(IF(L260="","","; APP:"&amp;L260)&amp;IF(M260="","","; PS1:"&amp;M260)&amp;IF(N260="","","; AQP4:"&amp;N260)&amp;IF(O260="","","; CAG-EGFP:"&amp;O260),3,200)</f>
        <v>AQP4:-</v>
      </c>
      <c r="Q260" s="8" t="s">
        <v>47</v>
      </c>
      <c r="R260" s="8" t="s">
        <v>88</v>
      </c>
      <c r="S260" s="8"/>
      <c r="T260" s="8"/>
    </row>
    <row r="261" customFormat="false" ht="15" hidden="false" customHeight="false" outlineLevel="0" collapsed="false">
      <c r="A261" s="7" t="s">
        <v>492</v>
      </c>
      <c r="B261" s="8" t="s">
        <v>108</v>
      </c>
      <c r="C261" s="8" t="n">
        <v>23</v>
      </c>
      <c r="D261" s="8" t="s">
        <v>46</v>
      </c>
      <c r="E261" s="9" t="n">
        <v>45303</v>
      </c>
      <c r="F261" s="8" t="n">
        <f aca="true">IF(E261="","",ROUND((TODAY()-E261)/7,1))</f>
        <v>126.3</v>
      </c>
      <c r="G261" s="8" t="s">
        <v>38</v>
      </c>
      <c r="H261" s="8"/>
      <c r="I261" s="8" t="s">
        <v>481</v>
      </c>
      <c r="J261" s="8" t="s">
        <v>482</v>
      </c>
      <c r="K261" s="8" t="n">
        <v>3</v>
      </c>
      <c r="L261" s="10"/>
      <c r="M261" s="10"/>
      <c r="N261" s="10" t="s">
        <v>83</v>
      </c>
      <c r="O261" s="10"/>
      <c r="P261" s="8" t="str">
        <f aca="false">MID(IF(L261="","","; APP:"&amp;L261)&amp;IF(M261="","","; PS1:"&amp;M261)&amp;IF(N261="","","; AQP4:"&amp;N261)&amp;IF(O261="","","; CAG-EGFP:"&amp;O261),3,200)</f>
        <v>AQP4:-</v>
      </c>
      <c r="Q261" s="8" t="s">
        <v>47</v>
      </c>
      <c r="R261" s="8" t="s">
        <v>88</v>
      </c>
      <c r="S261" s="8"/>
      <c r="T261" s="8"/>
    </row>
    <row r="262" customFormat="false" ht="15" hidden="false" customHeight="false" outlineLevel="0" collapsed="false">
      <c r="A262" s="7" t="s">
        <v>493</v>
      </c>
      <c r="B262" s="8" t="s">
        <v>108</v>
      </c>
      <c r="C262" s="8" t="n">
        <v>24</v>
      </c>
      <c r="D262" s="8" t="s">
        <v>46</v>
      </c>
      <c r="E262" s="9" t="n">
        <v>45303</v>
      </c>
      <c r="F262" s="8" t="n">
        <f aca="true">IF(E262="","",ROUND((TODAY()-E262)/7,1))</f>
        <v>126.3</v>
      </c>
      <c r="G262" s="8" t="s">
        <v>38</v>
      </c>
      <c r="H262" s="8"/>
      <c r="I262" s="8" t="s">
        <v>481</v>
      </c>
      <c r="J262" s="8" t="s">
        <v>482</v>
      </c>
      <c r="K262" s="8" t="n">
        <v>3</v>
      </c>
      <c r="L262" s="10"/>
      <c r="M262" s="10"/>
      <c r="N262" s="10" t="s">
        <v>83</v>
      </c>
      <c r="O262" s="10"/>
      <c r="P262" s="8" t="str">
        <f aca="false">MID(IF(L262="","","; APP:"&amp;L262)&amp;IF(M262="","","; PS1:"&amp;M262)&amp;IF(N262="","","; AQP4:"&amp;N262)&amp;IF(O262="","","; CAG-EGFP:"&amp;O262),3,200)</f>
        <v>AQP4:-</v>
      </c>
      <c r="Q262" s="8" t="s">
        <v>47</v>
      </c>
      <c r="R262" s="8" t="s">
        <v>88</v>
      </c>
      <c r="S262" s="8"/>
      <c r="T262" s="8"/>
    </row>
    <row r="263" customFormat="false" ht="15" hidden="false" customHeight="false" outlineLevel="0" collapsed="false">
      <c r="A263" s="7" t="s">
        <v>494</v>
      </c>
      <c r="B263" s="8" t="s">
        <v>108</v>
      </c>
      <c r="C263" s="8" t="n">
        <v>25</v>
      </c>
      <c r="D263" s="8" t="s">
        <v>46</v>
      </c>
      <c r="E263" s="9" t="n">
        <v>45303</v>
      </c>
      <c r="F263" s="8" t="n">
        <f aca="true">IF(E263="","",ROUND((TODAY()-E263)/7,1))</f>
        <v>126.3</v>
      </c>
      <c r="G263" s="8" t="s">
        <v>38</v>
      </c>
      <c r="H263" s="8"/>
      <c r="I263" s="8" t="s">
        <v>481</v>
      </c>
      <c r="J263" s="8" t="s">
        <v>482</v>
      </c>
      <c r="K263" s="8" t="n">
        <v>3</v>
      </c>
      <c r="L263" s="10"/>
      <c r="M263" s="10"/>
      <c r="N263" s="10" t="s">
        <v>83</v>
      </c>
      <c r="O263" s="10"/>
      <c r="P263" s="8" t="str">
        <f aca="false">MID(IF(L263="","","; APP:"&amp;L263)&amp;IF(M263="","","; PS1:"&amp;M263)&amp;IF(N263="","","; AQP4:"&amp;N263)&amp;IF(O263="","","; CAG-EGFP:"&amp;O263),3,200)</f>
        <v>AQP4:-</v>
      </c>
      <c r="Q263" s="8" t="s">
        <v>47</v>
      </c>
      <c r="R263" s="8" t="s">
        <v>88</v>
      </c>
      <c r="S263" s="8"/>
      <c r="T263" s="8"/>
    </row>
    <row r="264" customFormat="false" ht="15" hidden="false" customHeight="false" outlineLevel="0" collapsed="false">
      <c r="A264" s="7" t="s">
        <v>495</v>
      </c>
      <c r="B264" s="8" t="s">
        <v>108</v>
      </c>
      <c r="C264" s="8" t="n">
        <v>26</v>
      </c>
      <c r="D264" s="8" t="s">
        <v>46</v>
      </c>
      <c r="E264" s="9" t="n">
        <v>45336</v>
      </c>
      <c r="F264" s="8" t="n">
        <f aca="true">IF(E264="","",ROUND((TODAY()-E264)/7,1))</f>
        <v>121.6</v>
      </c>
      <c r="G264" s="8" t="s">
        <v>38</v>
      </c>
      <c r="H264" s="8"/>
      <c r="I264" s="8" t="s">
        <v>481</v>
      </c>
      <c r="J264" s="8" t="s">
        <v>482</v>
      </c>
      <c r="K264" s="8" t="n">
        <v>3</v>
      </c>
      <c r="L264" s="10"/>
      <c r="M264" s="10"/>
      <c r="N264" s="10" t="s">
        <v>83</v>
      </c>
      <c r="O264" s="10"/>
      <c r="P264" s="8" t="str">
        <f aca="false">MID(IF(L264="","","; APP:"&amp;L264)&amp;IF(M264="","","; PS1:"&amp;M264)&amp;IF(N264="","","; AQP4:"&amp;N264)&amp;IF(O264="","","; CAG-EGFP:"&amp;O264),3,200)</f>
        <v>AQP4:-</v>
      </c>
      <c r="Q264" s="8" t="s">
        <v>47</v>
      </c>
      <c r="R264" s="8" t="s">
        <v>88</v>
      </c>
      <c r="S264" s="8"/>
      <c r="T264" s="8"/>
    </row>
    <row r="265" customFormat="false" ht="15" hidden="false" customHeight="false" outlineLevel="0" collapsed="false">
      <c r="A265" s="7" t="s">
        <v>496</v>
      </c>
      <c r="B265" s="8" t="s">
        <v>108</v>
      </c>
      <c r="C265" s="8" t="n">
        <v>27</v>
      </c>
      <c r="D265" s="8" t="s">
        <v>46</v>
      </c>
      <c r="E265" s="9" t="n">
        <v>45336</v>
      </c>
      <c r="F265" s="8" t="n">
        <f aca="true">IF(E265="","",ROUND((TODAY()-E265)/7,1))</f>
        <v>121.6</v>
      </c>
      <c r="G265" s="8" t="s">
        <v>38</v>
      </c>
      <c r="H265" s="8"/>
      <c r="I265" s="8" t="s">
        <v>481</v>
      </c>
      <c r="J265" s="8" t="s">
        <v>482</v>
      </c>
      <c r="K265" s="8" t="n">
        <v>3</v>
      </c>
      <c r="L265" s="10"/>
      <c r="M265" s="10"/>
      <c r="N265" s="10" t="s">
        <v>83</v>
      </c>
      <c r="O265" s="10"/>
      <c r="P265" s="8" t="str">
        <f aca="false">MID(IF(L265="","","; APP:"&amp;L265)&amp;IF(M265="","","; PS1:"&amp;M265)&amp;IF(N265="","","; AQP4:"&amp;N265)&amp;IF(O265="","","; CAG-EGFP:"&amp;O265),3,200)</f>
        <v>AQP4:-</v>
      </c>
      <c r="Q265" s="8" t="s">
        <v>47</v>
      </c>
      <c r="R265" s="8" t="s">
        <v>88</v>
      </c>
      <c r="S265" s="8"/>
      <c r="T265" s="8"/>
    </row>
    <row r="266" customFormat="false" ht="15" hidden="false" customHeight="false" outlineLevel="0" collapsed="false">
      <c r="A266" s="7" t="s">
        <v>497</v>
      </c>
      <c r="B266" s="8" t="s">
        <v>108</v>
      </c>
      <c r="C266" s="8" t="n">
        <v>28</v>
      </c>
      <c r="D266" s="8" t="s">
        <v>33</v>
      </c>
      <c r="E266" s="9" t="n">
        <v>45615</v>
      </c>
      <c r="F266" s="8" t="n">
        <f aca="true">IF(E266="","",ROUND((TODAY()-E266)/7,1))</f>
        <v>81.7</v>
      </c>
      <c r="G266" s="8" t="s">
        <v>38</v>
      </c>
      <c r="H266" s="8"/>
      <c r="I266" s="8" t="s">
        <v>498</v>
      </c>
      <c r="J266" s="8" t="s">
        <v>499</v>
      </c>
      <c r="K266" s="8" t="n">
        <v>4</v>
      </c>
      <c r="L266" s="10"/>
      <c r="M266" s="10"/>
      <c r="N266" s="10" t="s">
        <v>83</v>
      </c>
      <c r="O266" s="10"/>
      <c r="P266" s="8" t="str">
        <f aca="false">MID(IF(L266="","","; APP:"&amp;L266)&amp;IF(M266="","","; PS1:"&amp;M266)&amp;IF(N266="","","; AQP4:"&amp;N266)&amp;IF(O266="","","; CAG-EGFP:"&amp;O266),3,200)</f>
        <v>AQP4:-</v>
      </c>
      <c r="Q266" s="8" t="s">
        <v>47</v>
      </c>
      <c r="R266" s="8" t="s">
        <v>88</v>
      </c>
      <c r="S266" s="8"/>
      <c r="T266" s="8" t="s">
        <v>151</v>
      </c>
    </row>
    <row r="267" customFormat="false" ht="15" hidden="false" customHeight="false" outlineLevel="0" collapsed="false">
      <c r="A267" s="7" t="s">
        <v>500</v>
      </c>
      <c r="B267" s="8" t="s">
        <v>108</v>
      </c>
      <c r="C267" s="8" t="n">
        <v>29</v>
      </c>
      <c r="D267" s="8" t="s">
        <v>33</v>
      </c>
      <c r="E267" s="9" t="n">
        <v>45615</v>
      </c>
      <c r="F267" s="8" t="n">
        <f aca="true">IF(E267="","",ROUND((TODAY()-E267)/7,1))</f>
        <v>81.7</v>
      </c>
      <c r="G267" s="8" t="s">
        <v>38</v>
      </c>
      <c r="H267" s="8"/>
      <c r="I267" s="8" t="s">
        <v>498</v>
      </c>
      <c r="J267" s="8" t="s">
        <v>499</v>
      </c>
      <c r="K267" s="8" t="n">
        <v>4</v>
      </c>
      <c r="L267" s="10"/>
      <c r="M267" s="10"/>
      <c r="N267" s="10" t="s">
        <v>83</v>
      </c>
      <c r="O267" s="10"/>
      <c r="P267" s="8" t="str">
        <f aca="false">MID(IF(L267="","","; APP:"&amp;L267)&amp;IF(M267="","","; PS1:"&amp;M267)&amp;IF(N267="","","; AQP4:"&amp;N267)&amp;IF(O267="","","; CAG-EGFP:"&amp;O267),3,200)</f>
        <v>AQP4:-</v>
      </c>
      <c r="Q267" s="8" t="s">
        <v>47</v>
      </c>
      <c r="R267" s="8" t="s">
        <v>88</v>
      </c>
      <c r="S267" s="8"/>
      <c r="T267" s="8" t="s">
        <v>151</v>
      </c>
    </row>
    <row r="268" customFormat="false" ht="15" hidden="false" customHeight="false" outlineLevel="0" collapsed="false">
      <c r="A268" s="7" t="s">
        <v>501</v>
      </c>
      <c r="B268" s="8" t="s">
        <v>108</v>
      </c>
      <c r="C268" s="8" t="n">
        <v>30</v>
      </c>
      <c r="D268" s="8" t="s">
        <v>46</v>
      </c>
      <c r="E268" s="9" t="n">
        <v>45615</v>
      </c>
      <c r="F268" s="8" t="n">
        <f aca="true">IF(E268="","",ROUND((TODAY()-E268)/7,1))</f>
        <v>81.7</v>
      </c>
      <c r="G268" s="8" t="s">
        <v>38</v>
      </c>
      <c r="H268" s="8"/>
      <c r="I268" s="8" t="s">
        <v>498</v>
      </c>
      <c r="J268" s="8" t="s">
        <v>499</v>
      </c>
      <c r="K268" s="8" t="n">
        <v>4</v>
      </c>
      <c r="L268" s="10"/>
      <c r="M268" s="10"/>
      <c r="N268" s="10" t="s">
        <v>83</v>
      </c>
      <c r="O268" s="10"/>
      <c r="P268" s="8" t="str">
        <f aca="false">MID(IF(L268="","","; APP:"&amp;L268)&amp;IF(M268="","","; PS1:"&amp;M268)&amp;IF(N268="","","; AQP4:"&amp;N268)&amp;IF(O268="","","; CAG-EGFP:"&amp;O268),3,200)</f>
        <v>AQP4:-</v>
      </c>
      <c r="Q268" s="8" t="s">
        <v>47</v>
      </c>
      <c r="R268" s="8" t="s">
        <v>88</v>
      </c>
      <c r="S268" s="8"/>
      <c r="T268" s="8" t="s">
        <v>151</v>
      </c>
    </row>
    <row r="269" customFormat="false" ht="15" hidden="false" customHeight="false" outlineLevel="0" collapsed="false">
      <c r="A269" s="7" t="s">
        <v>502</v>
      </c>
      <c r="B269" s="8" t="s">
        <v>108</v>
      </c>
      <c r="C269" s="8" t="n">
        <v>31</v>
      </c>
      <c r="D269" s="8" t="s">
        <v>46</v>
      </c>
      <c r="E269" s="9" t="n">
        <v>45615</v>
      </c>
      <c r="F269" s="8" t="n">
        <f aca="true">IF(E269="","",ROUND((TODAY()-E269)/7,1))</f>
        <v>81.7</v>
      </c>
      <c r="G269" s="8" t="s">
        <v>38</v>
      </c>
      <c r="H269" s="8"/>
      <c r="I269" s="8" t="s">
        <v>498</v>
      </c>
      <c r="J269" s="8" t="s">
        <v>499</v>
      </c>
      <c r="K269" s="8" t="n">
        <v>4</v>
      </c>
      <c r="L269" s="10"/>
      <c r="M269" s="10"/>
      <c r="N269" s="10" t="s">
        <v>83</v>
      </c>
      <c r="O269" s="10"/>
      <c r="P269" s="8" t="str">
        <f aca="false">MID(IF(L269="","","; APP:"&amp;L269)&amp;IF(M269="","","; PS1:"&amp;M269)&amp;IF(N269="","","; AQP4:"&amp;N269)&amp;IF(O269="","","; CAG-EGFP:"&amp;O269),3,200)</f>
        <v>AQP4:-</v>
      </c>
      <c r="Q269" s="8" t="s">
        <v>47</v>
      </c>
      <c r="R269" s="8" t="s">
        <v>88</v>
      </c>
      <c r="S269" s="8"/>
      <c r="T269" s="8" t="s">
        <v>151</v>
      </c>
    </row>
    <row r="270" customFormat="false" ht="15" hidden="false" customHeight="false" outlineLevel="0" collapsed="false">
      <c r="A270" s="7" t="s">
        <v>503</v>
      </c>
      <c r="B270" s="8" t="s">
        <v>108</v>
      </c>
      <c r="C270" s="8" t="n">
        <v>32</v>
      </c>
      <c r="D270" s="8" t="s">
        <v>46</v>
      </c>
      <c r="E270" s="9" t="n">
        <v>45615</v>
      </c>
      <c r="F270" s="8" t="n">
        <f aca="true">IF(E270="","",ROUND((TODAY()-E270)/7,1))</f>
        <v>81.7</v>
      </c>
      <c r="G270" s="8" t="s">
        <v>38</v>
      </c>
      <c r="H270" s="8"/>
      <c r="I270" s="8" t="s">
        <v>498</v>
      </c>
      <c r="J270" s="8" t="s">
        <v>499</v>
      </c>
      <c r="K270" s="8" t="n">
        <v>4</v>
      </c>
      <c r="L270" s="10"/>
      <c r="M270" s="10"/>
      <c r="N270" s="10" t="s">
        <v>83</v>
      </c>
      <c r="O270" s="10"/>
      <c r="P270" s="8" t="str">
        <f aca="false">MID(IF(L270="","","; APP:"&amp;L270)&amp;IF(M270="","","; PS1:"&amp;M270)&amp;IF(N270="","","; AQP4:"&amp;N270)&amp;IF(O270="","","; CAG-EGFP:"&amp;O270),3,200)</f>
        <v>AQP4:-</v>
      </c>
      <c r="Q270" s="8" t="s">
        <v>47</v>
      </c>
      <c r="R270" s="8" t="s">
        <v>88</v>
      </c>
      <c r="S270" s="8"/>
      <c r="T270" s="8" t="s">
        <v>151</v>
      </c>
    </row>
    <row r="271" customFormat="false" ht="15" hidden="false" customHeight="false" outlineLevel="0" collapsed="false">
      <c r="A271" s="7" t="s">
        <v>504</v>
      </c>
      <c r="B271" s="8" t="s">
        <v>108</v>
      </c>
      <c r="C271" s="8" t="n">
        <v>33</v>
      </c>
      <c r="D271" s="8" t="s">
        <v>46</v>
      </c>
      <c r="E271" s="9" t="n">
        <v>45615</v>
      </c>
      <c r="F271" s="8" t="n">
        <f aca="true">IF(E271="","",ROUND((TODAY()-E271)/7,1))</f>
        <v>81.7</v>
      </c>
      <c r="G271" s="8" t="s">
        <v>38</v>
      </c>
      <c r="H271" s="8"/>
      <c r="I271" s="8" t="s">
        <v>498</v>
      </c>
      <c r="J271" s="8" t="s">
        <v>499</v>
      </c>
      <c r="K271" s="8" t="n">
        <v>4</v>
      </c>
      <c r="L271" s="10"/>
      <c r="M271" s="10"/>
      <c r="N271" s="10" t="s">
        <v>83</v>
      </c>
      <c r="O271" s="10"/>
      <c r="P271" s="8" t="str">
        <f aca="false">MID(IF(L271="","","; APP:"&amp;L271)&amp;IF(M271="","","; PS1:"&amp;M271)&amp;IF(N271="","","; AQP4:"&amp;N271)&amp;IF(O271="","","; CAG-EGFP:"&amp;O271),3,200)</f>
        <v>AQP4:-</v>
      </c>
      <c r="Q271" s="8" t="s">
        <v>47</v>
      </c>
      <c r="R271" s="8" t="s">
        <v>88</v>
      </c>
      <c r="S271" s="8"/>
      <c r="T271" s="8" t="s">
        <v>151</v>
      </c>
    </row>
    <row r="272" customFormat="false" ht="15" hidden="false" customHeight="false" outlineLevel="0" collapsed="false">
      <c r="A272" s="7" t="s">
        <v>505</v>
      </c>
      <c r="B272" s="8" t="s">
        <v>108</v>
      </c>
      <c r="C272" s="8" t="n">
        <v>34</v>
      </c>
      <c r="D272" s="8" t="s">
        <v>46</v>
      </c>
      <c r="E272" s="9" t="n">
        <v>45615</v>
      </c>
      <c r="F272" s="8" t="n">
        <f aca="true">IF(E272="","",ROUND((TODAY()-E272)/7,1))</f>
        <v>81.7</v>
      </c>
      <c r="G272" s="8" t="s">
        <v>38</v>
      </c>
      <c r="H272" s="8"/>
      <c r="I272" s="8" t="s">
        <v>498</v>
      </c>
      <c r="J272" s="8" t="s">
        <v>499</v>
      </c>
      <c r="K272" s="8" t="n">
        <v>4</v>
      </c>
      <c r="L272" s="10"/>
      <c r="M272" s="10"/>
      <c r="N272" s="10" t="s">
        <v>83</v>
      </c>
      <c r="O272" s="10"/>
      <c r="P272" s="8" t="str">
        <f aca="false">MID(IF(L272="","","; APP:"&amp;L272)&amp;IF(M272="","","; PS1:"&amp;M272)&amp;IF(N272="","","; AQP4:"&amp;N272)&amp;IF(O272="","","; CAG-EGFP:"&amp;O272),3,200)</f>
        <v>AQP4:-</v>
      </c>
      <c r="Q272" s="8" t="s">
        <v>47</v>
      </c>
      <c r="R272" s="8" t="s">
        <v>88</v>
      </c>
      <c r="S272" s="8"/>
      <c r="T272" s="8" t="s">
        <v>151</v>
      </c>
    </row>
    <row r="273" customFormat="false" ht="15" hidden="false" customHeight="false" outlineLevel="0" collapsed="false">
      <c r="A273" s="7" t="s">
        <v>506</v>
      </c>
      <c r="B273" s="8" t="s">
        <v>108</v>
      </c>
      <c r="C273" s="8" t="n">
        <v>35</v>
      </c>
      <c r="D273" s="8" t="s">
        <v>46</v>
      </c>
      <c r="E273" s="9" t="n">
        <v>45615</v>
      </c>
      <c r="F273" s="8" t="n">
        <f aca="true">IF(E273="","",ROUND((TODAY()-E273)/7,1))</f>
        <v>81.7</v>
      </c>
      <c r="G273" s="8" t="s">
        <v>38</v>
      </c>
      <c r="H273" s="8"/>
      <c r="I273" s="8" t="s">
        <v>498</v>
      </c>
      <c r="J273" s="8" t="s">
        <v>499</v>
      </c>
      <c r="K273" s="8" t="n">
        <v>4</v>
      </c>
      <c r="L273" s="10"/>
      <c r="M273" s="10"/>
      <c r="N273" s="10" t="s">
        <v>83</v>
      </c>
      <c r="O273" s="10"/>
      <c r="P273" s="8" t="str">
        <f aca="false">MID(IF(L273="","","; APP:"&amp;L273)&amp;IF(M273="","","; PS1:"&amp;M273)&amp;IF(N273="","","; AQP4:"&amp;N273)&amp;IF(O273="","","; CAG-EGFP:"&amp;O273),3,200)</f>
        <v>AQP4:-</v>
      </c>
      <c r="Q273" s="8" t="s">
        <v>47</v>
      </c>
      <c r="R273" s="8" t="s">
        <v>88</v>
      </c>
      <c r="S273" s="8"/>
      <c r="T273" s="8" t="s">
        <v>151</v>
      </c>
    </row>
    <row r="274" customFormat="false" ht="15" hidden="false" customHeight="false" outlineLevel="0" collapsed="false">
      <c r="A274" s="7" t="s">
        <v>507</v>
      </c>
      <c r="B274" s="8" t="s">
        <v>108</v>
      </c>
      <c r="C274" s="8" t="n">
        <v>36</v>
      </c>
      <c r="D274" s="8" t="s">
        <v>33</v>
      </c>
      <c r="E274" s="9" t="n">
        <v>45685</v>
      </c>
      <c r="F274" s="8" t="n">
        <f aca="true">IF(E274="","",ROUND((TODAY()-E274)/7,1))</f>
        <v>71.7</v>
      </c>
      <c r="G274" s="8" t="s">
        <v>38</v>
      </c>
      <c r="H274" s="8"/>
      <c r="I274" s="8" t="s">
        <v>508</v>
      </c>
      <c r="J274" s="8" t="s">
        <v>499</v>
      </c>
      <c r="K274" s="8" t="n">
        <v>4</v>
      </c>
      <c r="L274" s="10"/>
      <c r="M274" s="10"/>
      <c r="N274" s="10" t="s">
        <v>83</v>
      </c>
      <c r="O274" s="10"/>
      <c r="P274" s="8" t="str">
        <f aca="false">MID(IF(L274="","","; APP:"&amp;L274)&amp;IF(M274="","","; PS1:"&amp;M274)&amp;IF(N274="","","; AQP4:"&amp;N274)&amp;IF(O274="","","; CAG-EGFP:"&amp;O274),3,200)</f>
        <v>AQP4:-</v>
      </c>
      <c r="Q274" s="8" t="s">
        <v>47</v>
      </c>
      <c r="R274" s="8" t="s">
        <v>88</v>
      </c>
      <c r="S274" s="8"/>
      <c r="T274" s="8" t="s">
        <v>509</v>
      </c>
    </row>
    <row r="275" customFormat="false" ht="15" hidden="false" customHeight="false" outlineLevel="0" collapsed="false">
      <c r="A275" s="7" t="s">
        <v>510</v>
      </c>
      <c r="B275" s="8" t="s">
        <v>108</v>
      </c>
      <c r="C275" s="8" t="n">
        <v>37</v>
      </c>
      <c r="D275" s="8" t="s">
        <v>33</v>
      </c>
      <c r="E275" s="9" t="n">
        <v>45685</v>
      </c>
      <c r="F275" s="8" t="n">
        <f aca="true">IF(E275="","",ROUND((TODAY()-E275)/7,1))</f>
        <v>71.7</v>
      </c>
      <c r="G275" s="8" t="s">
        <v>38</v>
      </c>
      <c r="H275" s="8"/>
      <c r="I275" s="8" t="s">
        <v>508</v>
      </c>
      <c r="J275" s="8" t="s">
        <v>499</v>
      </c>
      <c r="K275" s="8" t="n">
        <v>4</v>
      </c>
      <c r="L275" s="10"/>
      <c r="M275" s="10"/>
      <c r="N275" s="10" t="s">
        <v>83</v>
      </c>
      <c r="O275" s="10"/>
      <c r="P275" s="8" t="str">
        <f aca="false">MID(IF(L275="","","; APP:"&amp;L275)&amp;IF(M275="","","; PS1:"&amp;M275)&amp;IF(N275="","","; AQP4:"&amp;N275)&amp;IF(O275="","","; CAG-EGFP:"&amp;O275),3,200)</f>
        <v>AQP4:-</v>
      </c>
      <c r="Q275" s="8" t="s">
        <v>47</v>
      </c>
      <c r="R275" s="8" t="s">
        <v>88</v>
      </c>
      <c r="S275" s="8"/>
      <c r="T275" s="8" t="s">
        <v>151</v>
      </c>
    </row>
    <row r="276" customFormat="false" ht="15" hidden="false" customHeight="false" outlineLevel="0" collapsed="false">
      <c r="A276" s="7" t="s">
        <v>511</v>
      </c>
      <c r="B276" s="8" t="s">
        <v>108</v>
      </c>
      <c r="C276" s="8" t="n">
        <v>38</v>
      </c>
      <c r="D276" s="8" t="s">
        <v>33</v>
      </c>
      <c r="E276" s="9" t="n">
        <v>45685</v>
      </c>
      <c r="F276" s="8" t="n">
        <f aca="true">IF(E276="","",ROUND((TODAY()-E276)/7,1))</f>
        <v>71.7</v>
      </c>
      <c r="G276" s="8" t="s">
        <v>38</v>
      </c>
      <c r="H276" s="8"/>
      <c r="I276" s="8" t="s">
        <v>508</v>
      </c>
      <c r="J276" s="8" t="s">
        <v>499</v>
      </c>
      <c r="K276" s="8" t="n">
        <v>4</v>
      </c>
      <c r="L276" s="10"/>
      <c r="M276" s="10"/>
      <c r="N276" s="10" t="s">
        <v>83</v>
      </c>
      <c r="O276" s="10"/>
      <c r="P276" s="8" t="str">
        <f aca="false">MID(IF(L276="","","; APP:"&amp;L276)&amp;IF(M276="","","; PS1:"&amp;M276)&amp;IF(N276="","","; AQP4:"&amp;N276)&amp;IF(O276="","","; CAG-EGFP:"&amp;O276),3,200)</f>
        <v>AQP4:-</v>
      </c>
      <c r="Q276" s="8" t="s">
        <v>47</v>
      </c>
      <c r="R276" s="8" t="s">
        <v>14</v>
      </c>
      <c r="S276" s="8"/>
      <c r="T276" s="8" t="s">
        <v>151</v>
      </c>
    </row>
    <row r="277" customFormat="false" ht="15" hidden="false" customHeight="false" outlineLevel="0" collapsed="false">
      <c r="A277" s="7" t="s">
        <v>512</v>
      </c>
      <c r="B277" s="8" t="s">
        <v>108</v>
      </c>
      <c r="C277" s="8" t="n">
        <v>39</v>
      </c>
      <c r="D277" s="8" t="s">
        <v>33</v>
      </c>
      <c r="E277" s="9" t="n">
        <v>45685</v>
      </c>
      <c r="F277" s="8" t="n">
        <f aca="true">IF(E277="","",ROUND((TODAY()-E277)/7,1))</f>
        <v>71.7</v>
      </c>
      <c r="G277" s="8" t="s">
        <v>38</v>
      </c>
      <c r="H277" s="8"/>
      <c r="I277" s="8" t="s">
        <v>508</v>
      </c>
      <c r="J277" s="8" t="s">
        <v>499</v>
      </c>
      <c r="K277" s="8" t="n">
        <v>4</v>
      </c>
      <c r="L277" s="10"/>
      <c r="M277" s="10"/>
      <c r="N277" s="10" t="s">
        <v>83</v>
      </c>
      <c r="O277" s="10"/>
      <c r="P277" s="8" t="str">
        <f aca="false">MID(IF(L277="","","; APP:"&amp;L277)&amp;IF(M277="","","; PS1:"&amp;M277)&amp;IF(N277="","","; AQP4:"&amp;N277)&amp;IF(O277="","","; CAG-EGFP:"&amp;O277),3,200)</f>
        <v>AQP4:-</v>
      </c>
      <c r="Q277" s="8" t="s">
        <v>47</v>
      </c>
      <c r="R277" s="8" t="s">
        <v>14</v>
      </c>
      <c r="S277" s="8"/>
      <c r="T277" s="8" t="s">
        <v>151</v>
      </c>
    </row>
    <row r="278" customFormat="false" ht="15" hidden="false" customHeight="false" outlineLevel="0" collapsed="false">
      <c r="A278" s="7" t="s">
        <v>513</v>
      </c>
      <c r="B278" s="8" t="s">
        <v>108</v>
      </c>
      <c r="C278" s="8" t="n">
        <v>40</v>
      </c>
      <c r="D278" s="8" t="s">
        <v>33</v>
      </c>
      <c r="E278" s="9" t="n">
        <v>45685</v>
      </c>
      <c r="F278" s="8" t="n">
        <f aca="true">IF(E278="","",ROUND((TODAY()-E278)/7,1))</f>
        <v>71.7</v>
      </c>
      <c r="G278" s="8" t="s">
        <v>38</v>
      </c>
      <c r="H278" s="8"/>
      <c r="I278" s="8" t="s">
        <v>508</v>
      </c>
      <c r="J278" s="8" t="s">
        <v>499</v>
      </c>
      <c r="K278" s="8" t="n">
        <v>4</v>
      </c>
      <c r="L278" s="10"/>
      <c r="M278" s="10"/>
      <c r="N278" s="10" t="s">
        <v>83</v>
      </c>
      <c r="O278" s="10"/>
      <c r="P278" s="8" t="str">
        <f aca="false">MID(IF(L278="","","; APP:"&amp;L278)&amp;IF(M278="","","; PS1:"&amp;M278)&amp;IF(N278="","","; AQP4:"&amp;N278)&amp;IF(O278="","","; CAG-EGFP:"&amp;O278),3,200)</f>
        <v>AQP4:-</v>
      </c>
      <c r="Q278" s="8" t="s">
        <v>47</v>
      </c>
      <c r="R278" s="8" t="s">
        <v>14</v>
      </c>
      <c r="S278" s="8"/>
      <c r="T278" s="8" t="s">
        <v>151</v>
      </c>
    </row>
    <row r="279" customFormat="false" ht="15" hidden="false" customHeight="false" outlineLevel="0" collapsed="false">
      <c r="A279" s="7" t="s">
        <v>514</v>
      </c>
      <c r="B279" s="8" t="s">
        <v>108</v>
      </c>
      <c r="C279" s="8" t="n">
        <v>41</v>
      </c>
      <c r="D279" s="8" t="s">
        <v>46</v>
      </c>
      <c r="E279" s="9" t="n">
        <v>45685</v>
      </c>
      <c r="F279" s="8" t="n">
        <f aca="true">IF(E279="","",ROUND((TODAY()-E279)/7,1))</f>
        <v>71.7</v>
      </c>
      <c r="G279" s="8" t="s">
        <v>38</v>
      </c>
      <c r="H279" s="8"/>
      <c r="I279" s="8" t="s">
        <v>508</v>
      </c>
      <c r="J279" s="8" t="s">
        <v>499</v>
      </c>
      <c r="K279" s="8" t="n">
        <v>4</v>
      </c>
      <c r="L279" s="10"/>
      <c r="M279" s="10"/>
      <c r="N279" s="10" t="s">
        <v>83</v>
      </c>
      <c r="O279" s="10"/>
      <c r="P279" s="8" t="str">
        <f aca="false">MID(IF(L279="","","; APP:"&amp;L279)&amp;IF(M279="","","; PS1:"&amp;M279)&amp;IF(N279="","","; AQP4:"&amp;N279)&amp;IF(O279="","","; CAG-EGFP:"&amp;O279),3,200)</f>
        <v>AQP4:-</v>
      </c>
      <c r="Q279" s="8" t="s">
        <v>47</v>
      </c>
      <c r="R279" s="8" t="s">
        <v>88</v>
      </c>
      <c r="S279" s="8"/>
      <c r="T279" s="8" t="s">
        <v>151</v>
      </c>
    </row>
    <row r="280" customFormat="false" ht="15" hidden="false" customHeight="false" outlineLevel="0" collapsed="false">
      <c r="A280" s="7" t="s">
        <v>515</v>
      </c>
      <c r="B280" s="8" t="s">
        <v>108</v>
      </c>
      <c r="C280" s="8" t="n">
        <v>42</v>
      </c>
      <c r="D280" s="8" t="s">
        <v>46</v>
      </c>
      <c r="E280" s="9" t="n">
        <v>45685</v>
      </c>
      <c r="F280" s="8" t="n">
        <f aca="true">IF(E280="","",ROUND((TODAY()-E280)/7,1))</f>
        <v>71.7</v>
      </c>
      <c r="G280" s="8" t="s">
        <v>38</v>
      </c>
      <c r="H280" s="8"/>
      <c r="I280" s="8" t="s">
        <v>508</v>
      </c>
      <c r="J280" s="8" t="s">
        <v>499</v>
      </c>
      <c r="K280" s="8" t="n">
        <v>4</v>
      </c>
      <c r="L280" s="10"/>
      <c r="M280" s="10"/>
      <c r="N280" s="10" t="s">
        <v>83</v>
      </c>
      <c r="O280" s="10"/>
      <c r="P280" s="8" t="str">
        <f aca="false">MID(IF(L280="","","; APP:"&amp;L280)&amp;IF(M280="","","; PS1:"&amp;M280)&amp;IF(N280="","","; AQP4:"&amp;N280)&amp;IF(O280="","","; CAG-EGFP:"&amp;O280),3,200)</f>
        <v>AQP4:-</v>
      </c>
      <c r="Q280" s="8" t="s">
        <v>47</v>
      </c>
      <c r="R280" s="8" t="s">
        <v>14</v>
      </c>
      <c r="S280" s="8"/>
      <c r="T280" s="8" t="s">
        <v>151</v>
      </c>
    </row>
    <row r="281" customFormat="false" ht="15" hidden="false" customHeight="false" outlineLevel="0" collapsed="false">
      <c r="A281" s="7" t="s">
        <v>516</v>
      </c>
      <c r="B281" s="8" t="s">
        <v>108</v>
      </c>
      <c r="C281" s="8" t="n">
        <v>43</v>
      </c>
      <c r="D281" s="8" t="s">
        <v>46</v>
      </c>
      <c r="E281" s="9" t="n">
        <v>45685</v>
      </c>
      <c r="F281" s="8" t="n">
        <f aca="true">IF(E281="","",ROUND((TODAY()-E281)/7,1))</f>
        <v>71.7</v>
      </c>
      <c r="G281" s="8" t="s">
        <v>38</v>
      </c>
      <c r="H281" s="8"/>
      <c r="I281" s="8" t="s">
        <v>508</v>
      </c>
      <c r="J281" s="8" t="s">
        <v>499</v>
      </c>
      <c r="K281" s="8" t="n">
        <v>4</v>
      </c>
      <c r="L281" s="10"/>
      <c r="M281" s="10"/>
      <c r="N281" s="10" t="s">
        <v>83</v>
      </c>
      <c r="O281" s="10"/>
      <c r="P281" s="8" t="str">
        <f aca="false">MID(IF(L281="","","; APP:"&amp;L281)&amp;IF(M281="","","; PS1:"&amp;M281)&amp;IF(N281="","","; AQP4:"&amp;N281)&amp;IF(O281="","","; CAG-EGFP:"&amp;O281),3,200)</f>
        <v>AQP4:-</v>
      </c>
      <c r="Q281" s="8" t="s">
        <v>47</v>
      </c>
      <c r="R281" s="8" t="s">
        <v>14</v>
      </c>
      <c r="S281" s="8"/>
      <c r="T281" s="8" t="s">
        <v>151</v>
      </c>
    </row>
    <row r="282" customFormat="false" ht="15" hidden="false" customHeight="false" outlineLevel="0" collapsed="false">
      <c r="A282" s="7" t="s">
        <v>517</v>
      </c>
      <c r="B282" s="8" t="s">
        <v>108</v>
      </c>
      <c r="C282" s="8" t="n">
        <v>44</v>
      </c>
      <c r="D282" s="8" t="s">
        <v>46</v>
      </c>
      <c r="E282" s="9" t="n">
        <v>45685</v>
      </c>
      <c r="F282" s="8" t="n">
        <f aca="true">IF(E282="","",ROUND((TODAY()-E282)/7,1))</f>
        <v>71.7</v>
      </c>
      <c r="G282" s="8" t="s">
        <v>38</v>
      </c>
      <c r="H282" s="8"/>
      <c r="I282" s="8" t="s">
        <v>508</v>
      </c>
      <c r="J282" s="8" t="s">
        <v>499</v>
      </c>
      <c r="K282" s="8" t="n">
        <v>4</v>
      </c>
      <c r="L282" s="10"/>
      <c r="M282" s="10"/>
      <c r="N282" s="10" t="s">
        <v>83</v>
      </c>
      <c r="O282" s="10"/>
      <c r="P282" s="8" t="str">
        <f aca="false">MID(IF(L282="","","; APP:"&amp;L282)&amp;IF(M282="","","; PS1:"&amp;M282)&amp;IF(N282="","","; AQP4:"&amp;N282)&amp;IF(O282="","","; CAG-EGFP:"&amp;O282),3,200)</f>
        <v>AQP4:-</v>
      </c>
      <c r="Q282" s="8" t="s">
        <v>47</v>
      </c>
      <c r="R282" s="8" t="s">
        <v>14</v>
      </c>
      <c r="S282" s="8"/>
      <c r="T282" s="8" t="s">
        <v>151</v>
      </c>
    </row>
    <row r="283" customFormat="false" ht="15" hidden="false" customHeight="false" outlineLevel="0" collapsed="false">
      <c r="A283" s="7" t="s">
        <v>518</v>
      </c>
      <c r="B283" s="8" t="s">
        <v>108</v>
      </c>
      <c r="C283" s="8" t="n">
        <v>45</v>
      </c>
      <c r="D283" s="8" t="s">
        <v>33</v>
      </c>
      <c r="E283" s="9" t="n">
        <v>45714</v>
      </c>
      <c r="F283" s="8" t="n">
        <f aca="true">IF(E283="","",ROUND((TODAY()-E283)/7,1))</f>
        <v>67.6</v>
      </c>
      <c r="G283" s="8" t="s">
        <v>38</v>
      </c>
      <c r="H283" s="8"/>
      <c r="I283" s="8" t="s">
        <v>508</v>
      </c>
      <c r="J283" s="8" t="s">
        <v>499</v>
      </c>
      <c r="K283" s="8" t="n">
        <v>4</v>
      </c>
      <c r="L283" s="10"/>
      <c r="M283" s="10"/>
      <c r="N283" s="10" t="s">
        <v>83</v>
      </c>
      <c r="O283" s="10"/>
      <c r="P283" s="8" t="str">
        <f aca="false">MID(IF(L283="","","; APP:"&amp;L283)&amp;IF(M283="","","; PS1:"&amp;M283)&amp;IF(N283="","","; AQP4:"&amp;N283)&amp;IF(O283="","","; CAG-EGFP:"&amp;O283),3,200)</f>
        <v>AQP4:-</v>
      </c>
      <c r="Q283" s="8" t="s">
        <v>47</v>
      </c>
      <c r="R283" s="8" t="s">
        <v>88</v>
      </c>
      <c r="S283" s="8"/>
      <c r="T283" s="8" t="s">
        <v>151</v>
      </c>
    </row>
    <row r="284" customFormat="false" ht="15" hidden="false" customHeight="false" outlineLevel="0" collapsed="false">
      <c r="A284" s="7" t="s">
        <v>519</v>
      </c>
      <c r="B284" s="8" t="s">
        <v>108</v>
      </c>
      <c r="C284" s="8" t="n">
        <v>46</v>
      </c>
      <c r="D284" s="8" t="s">
        <v>33</v>
      </c>
      <c r="E284" s="9" t="n">
        <v>45714</v>
      </c>
      <c r="F284" s="8" t="n">
        <f aca="true">IF(E284="","",ROUND((TODAY()-E284)/7,1))</f>
        <v>67.6</v>
      </c>
      <c r="G284" s="8" t="s">
        <v>38</v>
      </c>
      <c r="H284" s="8"/>
      <c r="I284" s="8" t="s">
        <v>508</v>
      </c>
      <c r="J284" s="8" t="s">
        <v>499</v>
      </c>
      <c r="K284" s="8" t="n">
        <v>4</v>
      </c>
      <c r="L284" s="10"/>
      <c r="M284" s="10"/>
      <c r="N284" s="10" t="s">
        <v>83</v>
      </c>
      <c r="O284" s="10"/>
      <c r="P284" s="8" t="str">
        <f aca="false">MID(IF(L284="","","; APP:"&amp;L284)&amp;IF(M284="","","; PS1:"&amp;M284)&amp;IF(N284="","","; AQP4:"&amp;N284)&amp;IF(O284="","","; CAG-EGFP:"&amp;O284),3,200)</f>
        <v>AQP4:-</v>
      </c>
      <c r="Q284" s="8" t="s">
        <v>47</v>
      </c>
      <c r="R284" s="8" t="s">
        <v>88</v>
      </c>
      <c r="S284" s="8"/>
      <c r="T284" s="8" t="s">
        <v>151</v>
      </c>
    </row>
    <row r="285" customFormat="false" ht="15" hidden="false" customHeight="false" outlineLevel="0" collapsed="false">
      <c r="A285" s="7" t="s">
        <v>520</v>
      </c>
      <c r="B285" s="8" t="s">
        <v>108</v>
      </c>
      <c r="C285" s="8" t="n">
        <v>47</v>
      </c>
      <c r="D285" s="8" t="s">
        <v>33</v>
      </c>
      <c r="E285" s="9" t="n">
        <v>45714</v>
      </c>
      <c r="F285" s="8" t="n">
        <f aca="true">IF(E285="","",ROUND((TODAY()-E285)/7,1))</f>
        <v>67.6</v>
      </c>
      <c r="G285" s="8" t="s">
        <v>38</v>
      </c>
      <c r="H285" s="8"/>
      <c r="I285" s="8" t="s">
        <v>508</v>
      </c>
      <c r="J285" s="8" t="s">
        <v>499</v>
      </c>
      <c r="K285" s="8" t="n">
        <v>4</v>
      </c>
      <c r="L285" s="10"/>
      <c r="M285" s="10"/>
      <c r="N285" s="10" t="s">
        <v>83</v>
      </c>
      <c r="O285" s="10"/>
      <c r="P285" s="8" t="str">
        <f aca="false">MID(IF(L285="","","; APP:"&amp;L285)&amp;IF(M285="","","; PS1:"&amp;M285)&amp;IF(N285="","","; AQP4:"&amp;N285)&amp;IF(O285="","","; CAG-EGFP:"&amp;O285),3,200)</f>
        <v>AQP4:-</v>
      </c>
      <c r="Q285" s="8" t="s">
        <v>47</v>
      </c>
      <c r="R285" s="8" t="s">
        <v>88</v>
      </c>
      <c r="S285" s="8"/>
      <c r="T285" s="8" t="s">
        <v>151</v>
      </c>
    </row>
    <row r="286" customFormat="false" ht="15" hidden="false" customHeight="false" outlineLevel="0" collapsed="false">
      <c r="A286" s="7" t="s">
        <v>521</v>
      </c>
      <c r="B286" s="8" t="s">
        <v>108</v>
      </c>
      <c r="C286" s="8" t="n">
        <v>48</v>
      </c>
      <c r="D286" s="8" t="s">
        <v>33</v>
      </c>
      <c r="E286" s="9" t="n">
        <v>45714</v>
      </c>
      <c r="F286" s="8" t="n">
        <f aca="true">IF(E286="","",ROUND((TODAY()-E286)/7,1))</f>
        <v>67.6</v>
      </c>
      <c r="G286" s="8" t="s">
        <v>38</v>
      </c>
      <c r="H286" s="8"/>
      <c r="I286" s="8" t="s">
        <v>508</v>
      </c>
      <c r="J286" s="8" t="s">
        <v>499</v>
      </c>
      <c r="K286" s="8" t="n">
        <v>4</v>
      </c>
      <c r="L286" s="10"/>
      <c r="M286" s="10"/>
      <c r="N286" s="10" t="s">
        <v>83</v>
      </c>
      <c r="O286" s="10"/>
      <c r="P286" s="8" t="str">
        <f aca="false">MID(IF(L286="","","; APP:"&amp;L286)&amp;IF(M286="","","; PS1:"&amp;M286)&amp;IF(N286="","","; AQP4:"&amp;N286)&amp;IF(O286="","","; CAG-EGFP:"&amp;O286),3,200)</f>
        <v>AQP4:-</v>
      </c>
      <c r="Q286" s="8" t="s">
        <v>47</v>
      </c>
      <c r="R286" s="8" t="s">
        <v>88</v>
      </c>
      <c r="S286" s="8"/>
      <c r="T286" s="8" t="s">
        <v>151</v>
      </c>
    </row>
    <row r="287" customFormat="false" ht="15" hidden="false" customHeight="false" outlineLevel="0" collapsed="false">
      <c r="A287" s="7" t="s">
        <v>522</v>
      </c>
      <c r="B287" s="8" t="s">
        <v>108</v>
      </c>
      <c r="C287" s="8" t="n">
        <v>49</v>
      </c>
      <c r="D287" s="8" t="s">
        <v>46</v>
      </c>
      <c r="E287" s="9" t="n">
        <v>45714</v>
      </c>
      <c r="F287" s="8" t="n">
        <f aca="true">IF(E287="","",ROUND((TODAY()-E287)/7,1))</f>
        <v>67.6</v>
      </c>
      <c r="G287" s="8" t="s">
        <v>38</v>
      </c>
      <c r="H287" s="8"/>
      <c r="I287" s="8" t="s">
        <v>508</v>
      </c>
      <c r="J287" s="8" t="s">
        <v>499</v>
      </c>
      <c r="K287" s="8" t="n">
        <v>4</v>
      </c>
      <c r="L287" s="10"/>
      <c r="M287" s="10"/>
      <c r="N287" s="10" t="s">
        <v>83</v>
      </c>
      <c r="O287" s="10"/>
      <c r="P287" s="8" t="str">
        <f aca="false">MID(IF(L287="","","; APP:"&amp;L287)&amp;IF(M287="","","; PS1:"&amp;M287)&amp;IF(N287="","","; AQP4:"&amp;N287)&amp;IF(O287="","","; CAG-EGFP:"&amp;O287),3,200)</f>
        <v>AQP4:-</v>
      </c>
      <c r="Q287" s="8" t="s">
        <v>47</v>
      </c>
      <c r="R287" s="8" t="s">
        <v>88</v>
      </c>
      <c r="S287" s="8"/>
      <c r="T287" s="8" t="s">
        <v>151</v>
      </c>
    </row>
    <row r="288" customFormat="false" ht="15" hidden="false" customHeight="false" outlineLevel="0" collapsed="false">
      <c r="A288" s="7" t="s">
        <v>523</v>
      </c>
      <c r="B288" s="8" t="s">
        <v>108</v>
      </c>
      <c r="C288" s="8" t="n">
        <v>50</v>
      </c>
      <c r="D288" s="8" t="s">
        <v>46</v>
      </c>
      <c r="E288" s="9" t="n">
        <v>45714</v>
      </c>
      <c r="F288" s="8" t="n">
        <f aca="true">IF(E288="","",ROUND((TODAY()-E288)/7,1))</f>
        <v>67.6</v>
      </c>
      <c r="G288" s="8" t="s">
        <v>38</v>
      </c>
      <c r="H288" s="8"/>
      <c r="I288" s="8" t="s">
        <v>508</v>
      </c>
      <c r="J288" s="8" t="s">
        <v>499</v>
      </c>
      <c r="K288" s="8" t="n">
        <v>4</v>
      </c>
      <c r="L288" s="10"/>
      <c r="M288" s="10"/>
      <c r="N288" s="10" t="s">
        <v>83</v>
      </c>
      <c r="O288" s="10"/>
      <c r="P288" s="8" t="str">
        <f aca="false">MID(IF(L288="","","; APP:"&amp;L288)&amp;IF(M288="","","; PS1:"&amp;M288)&amp;IF(N288="","","; AQP4:"&amp;N288)&amp;IF(O288="","","; CAG-EGFP:"&amp;O288),3,200)</f>
        <v>AQP4:-</v>
      </c>
      <c r="Q288" s="8" t="s">
        <v>47</v>
      </c>
      <c r="R288" s="8" t="s">
        <v>88</v>
      </c>
      <c r="S288" s="8"/>
      <c r="T288" s="8" t="s">
        <v>151</v>
      </c>
    </row>
    <row r="289" customFormat="false" ht="15" hidden="false" customHeight="false" outlineLevel="0" collapsed="false">
      <c r="A289" s="7" t="s">
        <v>524</v>
      </c>
      <c r="B289" s="8" t="s">
        <v>108</v>
      </c>
      <c r="C289" s="8" t="n">
        <v>51</v>
      </c>
      <c r="D289" s="8" t="s">
        <v>46</v>
      </c>
      <c r="E289" s="9" t="n">
        <v>45626</v>
      </c>
      <c r="F289" s="8" t="n">
        <f aca="true">IF(E289="","",ROUND((TODAY()-E289)/7,1))</f>
        <v>80.1</v>
      </c>
      <c r="G289" s="8" t="s">
        <v>38</v>
      </c>
      <c r="H289" s="8"/>
      <c r="I289" s="8" t="s">
        <v>338</v>
      </c>
      <c r="J289" s="8" t="s">
        <v>338</v>
      </c>
      <c r="K289" s="8" t="n">
        <v>1</v>
      </c>
      <c r="L289" s="10"/>
      <c r="M289" s="10"/>
      <c r="N289" s="10" t="s">
        <v>83</v>
      </c>
      <c r="O289" s="10"/>
      <c r="P289" s="8" t="str">
        <f aca="false">MID(IF(L289="","","; APP:"&amp;L289)&amp;IF(M289="","","; PS1:"&amp;M289)&amp;IF(N289="","","; AQP4:"&amp;N289)&amp;IF(O289="","","; CAG-EGFP:"&amp;O289),3,200)</f>
        <v>AQP4:-</v>
      </c>
      <c r="Q289" s="8" t="s">
        <v>47</v>
      </c>
      <c r="R289" s="8" t="s">
        <v>88</v>
      </c>
      <c r="S289" s="8"/>
      <c r="T289" s="8" t="s">
        <v>525</v>
      </c>
    </row>
    <row r="290" customFormat="false" ht="15" hidden="false" customHeight="false" outlineLevel="0" collapsed="false">
      <c r="A290" s="7" t="s">
        <v>526</v>
      </c>
      <c r="B290" s="8" t="s">
        <v>108</v>
      </c>
      <c r="C290" s="8" t="n">
        <v>52</v>
      </c>
      <c r="D290" s="8" t="s">
        <v>46</v>
      </c>
      <c r="E290" s="9" t="n">
        <v>45626</v>
      </c>
      <c r="F290" s="8" t="n">
        <f aca="true">IF(E290="","",ROUND((TODAY()-E290)/7,1))</f>
        <v>80.1</v>
      </c>
      <c r="G290" s="8" t="s">
        <v>38</v>
      </c>
      <c r="H290" s="8"/>
      <c r="I290" s="8" t="s">
        <v>338</v>
      </c>
      <c r="J290" s="8" t="s">
        <v>338</v>
      </c>
      <c r="K290" s="8" t="n">
        <v>1</v>
      </c>
      <c r="L290" s="10"/>
      <c r="M290" s="10"/>
      <c r="N290" s="10" t="s">
        <v>83</v>
      </c>
      <c r="O290" s="10"/>
      <c r="P290" s="8" t="str">
        <f aca="false">MID(IF(L290="","","; APP:"&amp;L290)&amp;IF(M290="","","; PS1:"&amp;M290)&amp;IF(N290="","","; AQP4:"&amp;N290)&amp;IF(O290="","","; CAG-EGFP:"&amp;O290),3,200)</f>
        <v>AQP4:-</v>
      </c>
      <c r="Q290" s="8" t="s">
        <v>47</v>
      </c>
      <c r="R290" s="8" t="s">
        <v>88</v>
      </c>
      <c r="S290" s="8"/>
      <c r="T290" s="8" t="s">
        <v>525</v>
      </c>
    </row>
    <row r="291" customFormat="false" ht="15" hidden="false" customHeight="false" outlineLevel="0" collapsed="false">
      <c r="A291" s="7" t="s">
        <v>527</v>
      </c>
      <c r="B291" s="8" t="s">
        <v>108</v>
      </c>
      <c r="C291" s="8" t="n">
        <v>53</v>
      </c>
      <c r="D291" s="8" t="s">
        <v>46</v>
      </c>
      <c r="E291" s="9" t="n">
        <v>45626</v>
      </c>
      <c r="F291" s="8" t="n">
        <f aca="true">IF(E291="","",ROUND((TODAY()-E291)/7,1))</f>
        <v>80.1</v>
      </c>
      <c r="G291" s="8" t="s">
        <v>38</v>
      </c>
      <c r="H291" s="8"/>
      <c r="I291" s="8" t="s">
        <v>338</v>
      </c>
      <c r="J291" s="8" t="s">
        <v>338</v>
      </c>
      <c r="K291" s="8" t="n">
        <v>1</v>
      </c>
      <c r="L291" s="10"/>
      <c r="M291" s="10"/>
      <c r="N291" s="10" t="s">
        <v>83</v>
      </c>
      <c r="O291" s="10"/>
      <c r="P291" s="8" t="str">
        <f aca="false">MID(IF(L291="","","; APP:"&amp;L291)&amp;IF(M291="","","; PS1:"&amp;M291)&amp;IF(N291="","","; AQP4:"&amp;N291)&amp;IF(O291="","","; CAG-EGFP:"&amp;O291),3,200)</f>
        <v>AQP4:-</v>
      </c>
      <c r="Q291" s="8" t="s">
        <v>47</v>
      </c>
      <c r="R291" s="8" t="s">
        <v>88</v>
      </c>
      <c r="S291" s="8"/>
      <c r="T291" s="8" t="s">
        <v>525</v>
      </c>
    </row>
    <row r="292" customFormat="false" ht="17.15" hidden="false" customHeight="false" outlineLevel="0" collapsed="false">
      <c r="A292" s="7" t="s">
        <v>528</v>
      </c>
      <c r="B292" s="8" t="s">
        <v>108</v>
      </c>
      <c r="C292" s="8" t="n">
        <v>54</v>
      </c>
      <c r="D292" s="8" t="s">
        <v>33</v>
      </c>
      <c r="E292" s="9" t="n">
        <v>45769</v>
      </c>
      <c r="F292" s="8" t="n">
        <f aca="true">IF(E292="","",ROUND((TODAY()-E292)/7,1))</f>
        <v>59.7</v>
      </c>
      <c r="G292" s="8" t="s">
        <v>38</v>
      </c>
      <c r="H292" s="8"/>
      <c r="I292" s="8" t="s">
        <v>529</v>
      </c>
      <c r="J292" s="8" t="s">
        <v>530</v>
      </c>
      <c r="K292" s="8" t="n">
        <v>4</v>
      </c>
      <c r="L292" s="10"/>
      <c r="M292" s="10"/>
      <c r="N292" s="10" t="s">
        <v>83</v>
      </c>
      <c r="O292" s="10"/>
      <c r="P292" s="8" t="str">
        <f aca="false">MID(IF(L292="","","; APP:"&amp;L292)&amp;IF(M292="","","; PS1:"&amp;M292)&amp;IF(N292="","","; AQP4:"&amp;N292)&amp;IF(O292="","","; CAG-EGFP:"&amp;O292),3,200)</f>
        <v>AQP4:-</v>
      </c>
      <c r="Q292" s="8" t="s">
        <v>47</v>
      </c>
      <c r="R292" s="8" t="s">
        <v>88</v>
      </c>
      <c r="S292" s="8"/>
      <c r="T292" s="8" t="s">
        <v>151</v>
      </c>
    </row>
    <row r="293" customFormat="false" ht="17.15" hidden="false" customHeight="false" outlineLevel="0" collapsed="false">
      <c r="A293" s="7" t="s">
        <v>531</v>
      </c>
      <c r="B293" s="8" t="s">
        <v>108</v>
      </c>
      <c r="C293" s="8" t="n">
        <v>55</v>
      </c>
      <c r="D293" s="8" t="s">
        <v>33</v>
      </c>
      <c r="E293" s="9" t="n">
        <v>45769</v>
      </c>
      <c r="F293" s="8" t="n">
        <f aca="true">IF(E293="","",ROUND((TODAY()-E293)/7,1))</f>
        <v>59.7</v>
      </c>
      <c r="G293" s="8" t="s">
        <v>38</v>
      </c>
      <c r="H293" s="8"/>
      <c r="I293" s="8" t="s">
        <v>529</v>
      </c>
      <c r="J293" s="8" t="s">
        <v>530</v>
      </c>
      <c r="K293" s="8" t="n">
        <v>4</v>
      </c>
      <c r="L293" s="10"/>
      <c r="M293" s="10"/>
      <c r="N293" s="10" t="s">
        <v>83</v>
      </c>
      <c r="O293" s="10"/>
      <c r="P293" s="8" t="str">
        <f aca="false">MID(IF(L293="","","; APP:"&amp;L293)&amp;IF(M293="","","; PS1:"&amp;M293)&amp;IF(N293="","","; AQP4:"&amp;N293)&amp;IF(O293="","","; CAG-EGFP:"&amp;O293),3,200)</f>
        <v>AQP4:-</v>
      </c>
      <c r="Q293" s="8" t="s">
        <v>47</v>
      </c>
      <c r="R293" s="8" t="s">
        <v>88</v>
      </c>
      <c r="S293" s="8"/>
      <c r="T293" s="8" t="s">
        <v>151</v>
      </c>
    </row>
    <row r="294" customFormat="false" ht="17.15" hidden="false" customHeight="false" outlineLevel="0" collapsed="false">
      <c r="A294" s="7" t="s">
        <v>532</v>
      </c>
      <c r="B294" s="8" t="s">
        <v>108</v>
      </c>
      <c r="C294" s="8" t="n">
        <v>56</v>
      </c>
      <c r="D294" s="8" t="s">
        <v>46</v>
      </c>
      <c r="E294" s="9" t="n">
        <v>45769</v>
      </c>
      <c r="F294" s="8" t="n">
        <f aca="true">IF(E294="","",ROUND((TODAY()-E294)/7,1))</f>
        <v>59.7</v>
      </c>
      <c r="G294" s="8" t="s">
        <v>38</v>
      </c>
      <c r="H294" s="8"/>
      <c r="I294" s="8" t="s">
        <v>529</v>
      </c>
      <c r="J294" s="8" t="s">
        <v>530</v>
      </c>
      <c r="K294" s="8" t="n">
        <v>4</v>
      </c>
      <c r="L294" s="10"/>
      <c r="M294" s="10"/>
      <c r="N294" s="10" t="s">
        <v>83</v>
      </c>
      <c r="O294" s="10"/>
      <c r="P294" s="8" t="str">
        <f aca="false">MID(IF(L294="","","; APP:"&amp;L294)&amp;IF(M294="","","; PS1:"&amp;M294)&amp;IF(N294="","","; AQP4:"&amp;N294)&amp;IF(O294="","","; CAG-EGFP:"&amp;O294),3,200)</f>
        <v>AQP4:-</v>
      </c>
      <c r="Q294" s="8" t="s">
        <v>47</v>
      </c>
      <c r="R294" s="8" t="s">
        <v>88</v>
      </c>
      <c r="S294" s="8"/>
      <c r="T294" s="8" t="s">
        <v>151</v>
      </c>
    </row>
    <row r="295" customFormat="false" ht="17.15" hidden="false" customHeight="false" outlineLevel="0" collapsed="false">
      <c r="A295" s="7" t="s">
        <v>533</v>
      </c>
      <c r="B295" s="8" t="s">
        <v>108</v>
      </c>
      <c r="C295" s="8" t="n">
        <v>57</v>
      </c>
      <c r="D295" s="8" t="s">
        <v>46</v>
      </c>
      <c r="E295" s="9" t="n">
        <v>45769</v>
      </c>
      <c r="F295" s="8" t="n">
        <f aca="true">IF(E295="","",ROUND((TODAY()-E295)/7,1))</f>
        <v>59.7</v>
      </c>
      <c r="G295" s="8" t="s">
        <v>38</v>
      </c>
      <c r="H295" s="8"/>
      <c r="I295" s="8" t="s">
        <v>529</v>
      </c>
      <c r="J295" s="8" t="s">
        <v>530</v>
      </c>
      <c r="K295" s="8" t="n">
        <v>4</v>
      </c>
      <c r="L295" s="10"/>
      <c r="M295" s="10"/>
      <c r="N295" s="10" t="s">
        <v>83</v>
      </c>
      <c r="O295" s="10"/>
      <c r="P295" s="8" t="str">
        <f aca="false">MID(IF(L295="","","; APP:"&amp;L295)&amp;IF(M295="","","; PS1:"&amp;M295)&amp;IF(N295="","","; AQP4:"&amp;N295)&amp;IF(O295="","","; CAG-EGFP:"&amp;O295),3,200)</f>
        <v>AQP4:-</v>
      </c>
      <c r="Q295" s="8" t="s">
        <v>47</v>
      </c>
      <c r="R295" s="8" t="s">
        <v>14</v>
      </c>
      <c r="S295" s="8"/>
      <c r="T295" s="8" t="s">
        <v>151</v>
      </c>
    </row>
    <row r="296" customFormat="false" ht="17.15" hidden="false" customHeight="false" outlineLevel="0" collapsed="false">
      <c r="A296" s="7" t="s">
        <v>534</v>
      </c>
      <c r="B296" s="8" t="s">
        <v>108</v>
      </c>
      <c r="C296" s="8" t="n">
        <v>58</v>
      </c>
      <c r="D296" s="8" t="s">
        <v>46</v>
      </c>
      <c r="E296" s="9" t="n">
        <v>45769</v>
      </c>
      <c r="F296" s="8" t="n">
        <f aca="true">IF(E296="","",ROUND((TODAY()-E296)/7,1))</f>
        <v>59.7</v>
      </c>
      <c r="G296" s="8" t="s">
        <v>38</v>
      </c>
      <c r="H296" s="8"/>
      <c r="I296" s="8" t="s">
        <v>529</v>
      </c>
      <c r="J296" s="8" t="s">
        <v>530</v>
      </c>
      <c r="K296" s="8" t="n">
        <v>4</v>
      </c>
      <c r="L296" s="10"/>
      <c r="M296" s="10"/>
      <c r="N296" s="10" t="s">
        <v>83</v>
      </c>
      <c r="O296" s="10"/>
      <c r="P296" s="8" t="str">
        <f aca="false">MID(IF(L296="","","; APP:"&amp;L296)&amp;IF(M296="","","; PS1:"&amp;M296)&amp;IF(N296="","","; AQP4:"&amp;N296)&amp;IF(O296="","","; CAG-EGFP:"&amp;O296),3,200)</f>
        <v>AQP4:-</v>
      </c>
      <c r="Q296" s="8" t="s">
        <v>47</v>
      </c>
      <c r="R296" s="8" t="s">
        <v>14</v>
      </c>
      <c r="S296" s="8"/>
      <c r="T296" s="8" t="s">
        <v>151</v>
      </c>
    </row>
    <row r="297" customFormat="false" ht="17.15" hidden="false" customHeight="false" outlineLevel="0" collapsed="false">
      <c r="A297" s="7" t="s">
        <v>535</v>
      </c>
      <c r="B297" s="8" t="s">
        <v>108</v>
      </c>
      <c r="C297" s="8" t="n">
        <v>59</v>
      </c>
      <c r="D297" s="8" t="s">
        <v>46</v>
      </c>
      <c r="E297" s="9" t="n">
        <v>45769</v>
      </c>
      <c r="F297" s="8" t="n">
        <f aca="true">IF(E297="","",ROUND((TODAY()-E297)/7,1))</f>
        <v>59.7</v>
      </c>
      <c r="G297" s="8" t="s">
        <v>38</v>
      </c>
      <c r="H297" s="8"/>
      <c r="I297" s="8" t="s">
        <v>529</v>
      </c>
      <c r="J297" s="8" t="s">
        <v>530</v>
      </c>
      <c r="K297" s="8" t="n">
        <v>4</v>
      </c>
      <c r="L297" s="10"/>
      <c r="M297" s="10"/>
      <c r="N297" s="10" t="s">
        <v>83</v>
      </c>
      <c r="O297" s="10"/>
      <c r="P297" s="8" t="str">
        <f aca="false">MID(IF(L297="","","; APP:"&amp;L297)&amp;IF(M297="","","; PS1:"&amp;M297)&amp;IF(N297="","","; AQP4:"&amp;N297)&amp;IF(O297="","","; CAG-EGFP:"&amp;O297),3,200)</f>
        <v>AQP4:-</v>
      </c>
      <c r="Q297" s="8" t="s">
        <v>47</v>
      </c>
      <c r="R297" s="8" t="s">
        <v>14</v>
      </c>
      <c r="S297" s="8"/>
      <c r="T297" s="8" t="s">
        <v>151</v>
      </c>
    </row>
    <row r="298" customFormat="false" ht="17.15" hidden="false" customHeight="false" outlineLevel="0" collapsed="false">
      <c r="A298" s="7" t="s">
        <v>536</v>
      </c>
      <c r="B298" s="8" t="s">
        <v>108</v>
      </c>
      <c r="C298" s="8" t="n">
        <v>60</v>
      </c>
      <c r="D298" s="8" t="s">
        <v>46</v>
      </c>
      <c r="E298" s="9" t="n">
        <v>45769</v>
      </c>
      <c r="F298" s="8" t="n">
        <f aca="true">IF(E298="","",ROUND((TODAY()-E298)/7,1))</f>
        <v>59.7</v>
      </c>
      <c r="G298" s="8" t="s">
        <v>38</v>
      </c>
      <c r="H298" s="8"/>
      <c r="I298" s="8" t="s">
        <v>529</v>
      </c>
      <c r="J298" s="8" t="s">
        <v>530</v>
      </c>
      <c r="K298" s="8" t="n">
        <v>4</v>
      </c>
      <c r="L298" s="10"/>
      <c r="M298" s="10"/>
      <c r="N298" s="10" t="s">
        <v>83</v>
      </c>
      <c r="O298" s="10"/>
      <c r="P298" s="8" t="str">
        <f aca="false">MID(IF(L298="","","; APP:"&amp;L298)&amp;IF(M298="","","; PS1:"&amp;M298)&amp;IF(N298="","","; AQP4:"&amp;N298)&amp;IF(O298="","","; CAG-EGFP:"&amp;O298),3,200)</f>
        <v>AQP4:-</v>
      </c>
      <c r="Q298" s="8" t="s">
        <v>47</v>
      </c>
      <c r="R298" s="8" t="s">
        <v>88</v>
      </c>
      <c r="S298" s="8"/>
      <c r="T298" s="8" t="s">
        <v>151</v>
      </c>
    </row>
    <row r="299" customFormat="false" ht="17.15" hidden="false" customHeight="false" outlineLevel="0" collapsed="false">
      <c r="A299" s="7" t="s">
        <v>537</v>
      </c>
      <c r="B299" s="8" t="s">
        <v>108</v>
      </c>
      <c r="C299" s="8" t="n">
        <v>61</v>
      </c>
      <c r="D299" s="8" t="s">
        <v>33</v>
      </c>
      <c r="E299" s="9" t="n">
        <v>45907</v>
      </c>
      <c r="F299" s="8" t="n">
        <f aca="true">IF(E299="","",ROUND((TODAY()-E299)/7,1))</f>
        <v>40</v>
      </c>
      <c r="G299" s="8" t="s">
        <v>38</v>
      </c>
      <c r="H299" s="8"/>
      <c r="I299" s="8" t="s">
        <v>529</v>
      </c>
      <c r="J299" s="8" t="s">
        <v>538</v>
      </c>
      <c r="K299" s="8" t="n">
        <v>4</v>
      </c>
      <c r="L299" s="10"/>
      <c r="M299" s="10"/>
      <c r="N299" s="10" t="s">
        <v>83</v>
      </c>
      <c r="O299" s="10"/>
      <c r="P299" s="8" t="str">
        <f aca="false">MID(IF(L299="","","; APP:"&amp;L299)&amp;IF(M299="","","; PS1:"&amp;M299)&amp;IF(N299="","","; AQP4:"&amp;N299)&amp;IF(O299="","","; CAG-EGFP:"&amp;O299),3,200)</f>
        <v>AQP4:-</v>
      </c>
      <c r="Q299" s="8" t="s">
        <v>47</v>
      </c>
      <c r="R299" s="8" t="s">
        <v>88</v>
      </c>
      <c r="S299" s="8"/>
      <c r="T299" s="8"/>
    </row>
    <row r="300" customFormat="false" ht="17.15" hidden="false" customHeight="false" outlineLevel="0" collapsed="false">
      <c r="A300" s="7" t="s">
        <v>539</v>
      </c>
      <c r="B300" s="8" t="s">
        <v>108</v>
      </c>
      <c r="C300" s="8" t="n">
        <v>62</v>
      </c>
      <c r="D300" s="8" t="s">
        <v>33</v>
      </c>
      <c r="E300" s="9" t="n">
        <v>45907</v>
      </c>
      <c r="F300" s="8" t="n">
        <f aca="true">IF(E300="","",ROUND((TODAY()-E300)/7,1))</f>
        <v>40</v>
      </c>
      <c r="G300" s="8" t="s">
        <v>38</v>
      </c>
      <c r="H300" s="8"/>
      <c r="I300" s="8" t="s">
        <v>529</v>
      </c>
      <c r="J300" s="8" t="s">
        <v>538</v>
      </c>
      <c r="K300" s="8" t="n">
        <v>4</v>
      </c>
      <c r="L300" s="10"/>
      <c r="M300" s="10"/>
      <c r="N300" s="10" t="s">
        <v>83</v>
      </c>
      <c r="O300" s="10"/>
      <c r="P300" s="8" t="str">
        <f aca="false">MID(IF(L300="","","; APP:"&amp;L300)&amp;IF(M300="","","; PS1:"&amp;M300)&amp;IF(N300="","","; AQP4:"&amp;N300)&amp;IF(O300="","","; CAG-EGFP:"&amp;O300),3,200)</f>
        <v>AQP4:-</v>
      </c>
      <c r="Q300" s="8" t="s">
        <v>47</v>
      </c>
      <c r="R300" s="8" t="s">
        <v>14</v>
      </c>
      <c r="S300" s="8"/>
      <c r="T300" s="8" t="s">
        <v>540</v>
      </c>
    </row>
    <row r="301" customFormat="false" ht="17.15" hidden="false" customHeight="false" outlineLevel="0" collapsed="false">
      <c r="A301" s="7" t="s">
        <v>541</v>
      </c>
      <c r="B301" s="8" t="s">
        <v>108</v>
      </c>
      <c r="C301" s="8" t="n">
        <v>63</v>
      </c>
      <c r="D301" s="8" t="s">
        <v>46</v>
      </c>
      <c r="E301" s="9" t="n">
        <v>45907</v>
      </c>
      <c r="F301" s="8" t="n">
        <f aca="true">IF(E301="","",ROUND((TODAY()-E301)/7,1))</f>
        <v>40</v>
      </c>
      <c r="G301" s="8" t="s">
        <v>38</v>
      </c>
      <c r="H301" s="8"/>
      <c r="I301" s="8" t="s">
        <v>529</v>
      </c>
      <c r="J301" s="8" t="s">
        <v>538</v>
      </c>
      <c r="K301" s="8" t="n">
        <v>4</v>
      </c>
      <c r="L301" s="10"/>
      <c r="M301" s="10"/>
      <c r="N301" s="10" t="s">
        <v>83</v>
      </c>
      <c r="O301" s="10"/>
      <c r="P301" s="8" t="str">
        <f aca="false">MID(IF(L301="","","; APP:"&amp;L301)&amp;IF(M301="","","; PS1:"&amp;M301)&amp;IF(N301="","","; AQP4:"&amp;N301)&amp;IF(O301="","","; CAG-EGFP:"&amp;O301),3,200)</f>
        <v>AQP4:-</v>
      </c>
      <c r="Q301" s="8" t="s">
        <v>47</v>
      </c>
      <c r="R301" s="8" t="s">
        <v>14</v>
      </c>
      <c r="S301" s="8"/>
      <c r="T301" s="8"/>
    </row>
    <row r="302" customFormat="false" ht="17.15" hidden="false" customHeight="false" outlineLevel="0" collapsed="false">
      <c r="A302" s="7" t="s">
        <v>542</v>
      </c>
      <c r="B302" s="8" t="s">
        <v>108</v>
      </c>
      <c r="C302" s="8" t="n">
        <v>64</v>
      </c>
      <c r="D302" s="8" t="s">
        <v>46</v>
      </c>
      <c r="E302" s="9" t="n">
        <v>45907</v>
      </c>
      <c r="F302" s="8" t="n">
        <f aca="true">IF(E302="","",ROUND((TODAY()-E302)/7,1))</f>
        <v>40</v>
      </c>
      <c r="G302" s="8" t="s">
        <v>38</v>
      </c>
      <c r="H302" s="8"/>
      <c r="I302" s="8" t="s">
        <v>529</v>
      </c>
      <c r="J302" s="8" t="s">
        <v>538</v>
      </c>
      <c r="K302" s="8" t="n">
        <v>4</v>
      </c>
      <c r="L302" s="10"/>
      <c r="M302" s="10"/>
      <c r="N302" s="10" t="s">
        <v>83</v>
      </c>
      <c r="O302" s="10"/>
      <c r="P302" s="8" t="str">
        <f aca="false">MID(IF(L302="","","; APP:"&amp;L302)&amp;IF(M302="","","; PS1:"&amp;M302)&amp;IF(N302="","","; AQP4:"&amp;N302)&amp;IF(O302="","","; CAG-EGFP:"&amp;O302),3,200)</f>
        <v>AQP4:-</v>
      </c>
      <c r="Q302" s="8" t="s">
        <v>47</v>
      </c>
      <c r="R302" s="8" t="s">
        <v>14</v>
      </c>
      <c r="S302" s="8"/>
      <c r="T302" s="8"/>
    </row>
    <row r="303" customFormat="false" ht="17.15" hidden="false" customHeight="false" outlineLevel="0" collapsed="false">
      <c r="A303" s="7" t="s">
        <v>543</v>
      </c>
      <c r="B303" s="8" t="s">
        <v>108</v>
      </c>
      <c r="C303" s="8" t="n">
        <v>65</v>
      </c>
      <c r="D303" s="8" t="s">
        <v>46</v>
      </c>
      <c r="E303" s="9" t="n">
        <v>45907</v>
      </c>
      <c r="F303" s="8" t="n">
        <f aca="true">IF(E303="","",ROUND((TODAY()-E303)/7,1))</f>
        <v>40</v>
      </c>
      <c r="G303" s="8" t="s">
        <v>38</v>
      </c>
      <c r="H303" s="8"/>
      <c r="I303" s="8" t="s">
        <v>529</v>
      </c>
      <c r="J303" s="8" t="s">
        <v>538</v>
      </c>
      <c r="K303" s="8" t="n">
        <v>4</v>
      </c>
      <c r="L303" s="10"/>
      <c r="M303" s="10"/>
      <c r="N303" s="10" t="s">
        <v>83</v>
      </c>
      <c r="O303" s="10"/>
      <c r="P303" s="8" t="str">
        <f aca="false">MID(IF(L303="","","; APP:"&amp;L303)&amp;IF(M303="","","; PS1:"&amp;M303)&amp;IF(N303="","","; AQP4:"&amp;N303)&amp;IF(O303="","","; CAG-EGFP:"&amp;O303),3,200)</f>
        <v>AQP4:-</v>
      </c>
      <c r="Q303" s="8" t="s">
        <v>47</v>
      </c>
      <c r="R303" s="8" t="s">
        <v>88</v>
      </c>
      <c r="S303" s="8"/>
      <c r="T303" s="8"/>
    </row>
    <row r="304" customFormat="false" ht="17.15" hidden="false" customHeight="false" outlineLevel="0" collapsed="false">
      <c r="A304" s="7" t="s">
        <v>544</v>
      </c>
      <c r="B304" s="8" t="s">
        <v>108</v>
      </c>
      <c r="C304" s="8" t="n">
        <v>66</v>
      </c>
      <c r="D304" s="8" t="s">
        <v>33</v>
      </c>
      <c r="E304" s="9" t="n">
        <v>46051</v>
      </c>
      <c r="F304" s="8" t="n">
        <f aca="true">IF(E304="","",ROUND((TODAY()-E304)/7,1))</f>
        <v>19.4</v>
      </c>
      <c r="G304" s="8" t="s">
        <v>38</v>
      </c>
      <c r="H304" s="8"/>
      <c r="I304" s="8" t="s">
        <v>545</v>
      </c>
      <c r="J304" s="8" t="s">
        <v>546</v>
      </c>
      <c r="K304" s="8" t="n">
        <v>5</v>
      </c>
      <c r="L304" s="10"/>
      <c r="M304" s="10"/>
      <c r="N304" s="10" t="s">
        <v>83</v>
      </c>
      <c r="O304" s="10"/>
      <c r="P304" s="8" t="str">
        <f aca="false">MID(IF(L304="","","; APP:"&amp;L304)&amp;IF(M304="","","; PS1:"&amp;M304)&amp;IF(N304="","","; AQP4:"&amp;N304)&amp;IF(O304="","","; CAG-EGFP:"&amp;O304),3,200)</f>
        <v>AQP4:-</v>
      </c>
      <c r="Q304" s="8" t="s">
        <v>47</v>
      </c>
      <c r="R304" s="8" t="s">
        <v>14</v>
      </c>
      <c r="S304" s="8"/>
      <c r="T304" s="8" t="s">
        <v>547</v>
      </c>
    </row>
    <row r="305" customFormat="false" ht="17.15" hidden="false" customHeight="false" outlineLevel="0" collapsed="false">
      <c r="A305" s="7" t="s">
        <v>548</v>
      </c>
      <c r="B305" s="8" t="s">
        <v>108</v>
      </c>
      <c r="C305" s="8" t="n">
        <v>67</v>
      </c>
      <c r="D305" s="8" t="s">
        <v>33</v>
      </c>
      <c r="E305" s="9" t="n">
        <v>46051</v>
      </c>
      <c r="F305" s="8" t="n">
        <f aca="true">IF(E305="","",ROUND((TODAY()-E305)/7,1))</f>
        <v>19.4</v>
      </c>
      <c r="G305" s="8" t="s">
        <v>38</v>
      </c>
      <c r="H305" s="8"/>
      <c r="I305" s="8" t="s">
        <v>545</v>
      </c>
      <c r="J305" s="8" t="s">
        <v>546</v>
      </c>
      <c r="K305" s="8" t="n">
        <v>5</v>
      </c>
      <c r="L305" s="10"/>
      <c r="M305" s="10"/>
      <c r="N305" s="10" t="s">
        <v>83</v>
      </c>
      <c r="O305" s="10"/>
      <c r="P305" s="8" t="str">
        <f aca="false">MID(IF(L305="","","; APP:"&amp;L305)&amp;IF(M305="","","; PS1:"&amp;M305)&amp;IF(N305="","","; AQP4:"&amp;N305)&amp;IF(O305="","","; CAG-EGFP:"&amp;O305),3,200)</f>
        <v>AQP4:-</v>
      </c>
      <c r="Q305" s="8" t="s">
        <v>47</v>
      </c>
      <c r="R305" s="8" t="s">
        <v>14</v>
      </c>
      <c r="S305" s="8"/>
      <c r="T305" s="8" t="s">
        <v>540</v>
      </c>
    </row>
    <row r="306" customFormat="false" ht="17.15" hidden="false" customHeight="false" outlineLevel="0" collapsed="false">
      <c r="A306" s="7" t="s">
        <v>549</v>
      </c>
      <c r="B306" s="8" t="s">
        <v>108</v>
      </c>
      <c r="C306" s="8" t="n">
        <v>68</v>
      </c>
      <c r="D306" s="8" t="s">
        <v>33</v>
      </c>
      <c r="E306" s="9" t="n">
        <v>46051</v>
      </c>
      <c r="F306" s="8" t="n">
        <f aca="true">IF(E306="","",ROUND((TODAY()-E306)/7,1))</f>
        <v>19.4</v>
      </c>
      <c r="G306" s="8" t="s">
        <v>38</v>
      </c>
      <c r="H306" s="8"/>
      <c r="I306" s="8" t="s">
        <v>545</v>
      </c>
      <c r="J306" s="8" t="s">
        <v>546</v>
      </c>
      <c r="K306" s="8" t="n">
        <v>5</v>
      </c>
      <c r="L306" s="10"/>
      <c r="M306" s="10"/>
      <c r="N306" s="10" t="s">
        <v>83</v>
      </c>
      <c r="O306" s="10"/>
      <c r="P306" s="8" t="str">
        <f aca="false">MID(IF(L306="","","; APP:"&amp;L306)&amp;IF(M306="","","; PS1:"&amp;M306)&amp;IF(N306="","","; AQP4:"&amp;N306)&amp;IF(O306="","","; CAG-EGFP:"&amp;O306),3,200)</f>
        <v>AQP4:-</v>
      </c>
      <c r="Q306" s="8" t="s">
        <v>47</v>
      </c>
      <c r="R306" s="8" t="s">
        <v>14</v>
      </c>
      <c r="S306" s="8"/>
      <c r="T306" s="8" t="s">
        <v>540</v>
      </c>
    </row>
    <row r="307" customFormat="false" ht="17.15" hidden="false" customHeight="false" outlineLevel="0" collapsed="false">
      <c r="A307" s="7" t="s">
        <v>550</v>
      </c>
      <c r="B307" s="8" t="s">
        <v>108</v>
      </c>
      <c r="C307" s="8" t="n">
        <v>69</v>
      </c>
      <c r="D307" s="8" t="s">
        <v>33</v>
      </c>
      <c r="E307" s="9" t="n">
        <v>46051</v>
      </c>
      <c r="F307" s="8" t="n">
        <f aca="true">IF(E307="","",ROUND((TODAY()-E307)/7,1))</f>
        <v>19.4</v>
      </c>
      <c r="G307" s="8" t="s">
        <v>38</v>
      </c>
      <c r="H307" s="8"/>
      <c r="I307" s="8" t="s">
        <v>545</v>
      </c>
      <c r="J307" s="8" t="s">
        <v>546</v>
      </c>
      <c r="K307" s="8" t="n">
        <v>5</v>
      </c>
      <c r="L307" s="10"/>
      <c r="M307" s="10"/>
      <c r="N307" s="10" t="s">
        <v>83</v>
      </c>
      <c r="O307" s="10"/>
      <c r="P307" s="8" t="str">
        <f aca="false">MID(IF(L307="","","; APP:"&amp;L307)&amp;IF(M307="","","; PS1:"&amp;M307)&amp;IF(N307="","","; AQP4:"&amp;N307)&amp;IF(O307="","","; CAG-EGFP:"&amp;O307),3,200)</f>
        <v>AQP4:-</v>
      </c>
      <c r="Q307" s="8" t="s">
        <v>47</v>
      </c>
      <c r="R307" s="8" t="s">
        <v>14</v>
      </c>
      <c r="S307" s="8"/>
      <c r="T307" s="8"/>
    </row>
    <row r="308" customFormat="false" ht="17.15" hidden="false" customHeight="false" outlineLevel="0" collapsed="false">
      <c r="A308" s="7" t="s">
        <v>551</v>
      </c>
      <c r="B308" s="8" t="s">
        <v>108</v>
      </c>
      <c r="C308" s="8" t="n">
        <v>70</v>
      </c>
      <c r="D308" s="8" t="s">
        <v>33</v>
      </c>
      <c r="E308" s="9" t="n">
        <v>46051</v>
      </c>
      <c r="F308" s="8" t="n">
        <f aca="true">IF(E308="","",ROUND((TODAY()-E308)/7,1))</f>
        <v>19.4</v>
      </c>
      <c r="G308" s="8" t="s">
        <v>38</v>
      </c>
      <c r="H308" s="8"/>
      <c r="I308" s="8" t="s">
        <v>545</v>
      </c>
      <c r="J308" s="8" t="s">
        <v>546</v>
      </c>
      <c r="K308" s="8" t="n">
        <v>5</v>
      </c>
      <c r="L308" s="10"/>
      <c r="M308" s="10"/>
      <c r="N308" s="10" t="s">
        <v>83</v>
      </c>
      <c r="O308" s="10"/>
      <c r="P308" s="8" t="str">
        <f aca="false">MID(IF(L308="","","; APP:"&amp;L308)&amp;IF(M308="","","; PS1:"&amp;M308)&amp;IF(N308="","","; AQP4:"&amp;N308)&amp;IF(O308="","","; CAG-EGFP:"&amp;O308),3,200)</f>
        <v>AQP4:-</v>
      </c>
      <c r="Q308" s="8" t="s">
        <v>47</v>
      </c>
      <c r="R308" s="8" t="s">
        <v>14</v>
      </c>
      <c r="S308" s="8"/>
      <c r="T308" s="8"/>
    </row>
    <row r="309" customFormat="false" ht="17.15" hidden="false" customHeight="false" outlineLevel="0" collapsed="false">
      <c r="A309" s="7" t="s">
        <v>552</v>
      </c>
      <c r="B309" s="8" t="s">
        <v>108</v>
      </c>
      <c r="C309" s="8" t="n">
        <v>71</v>
      </c>
      <c r="D309" s="8" t="s">
        <v>33</v>
      </c>
      <c r="E309" s="9" t="n">
        <v>46051</v>
      </c>
      <c r="F309" s="8" t="n">
        <f aca="true">IF(E309="","",ROUND((TODAY()-E309)/7,1))</f>
        <v>19.4</v>
      </c>
      <c r="G309" s="8" t="s">
        <v>38</v>
      </c>
      <c r="H309" s="8"/>
      <c r="I309" s="8" t="s">
        <v>545</v>
      </c>
      <c r="J309" s="8" t="s">
        <v>546</v>
      </c>
      <c r="K309" s="8" t="n">
        <v>5</v>
      </c>
      <c r="L309" s="10"/>
      <c r="M309" s="10"/>
      <c r="N309" s="10" t="s">
        <v>83</v>
      </c>
      <c r="O309" s="10"/>
      <c r="P309" s="8" t="str">
        <f aca="false">MID(IF(L309="","","; APP:"&amp;L309)&amp;IF(M309="","","; PS1:"&amp;M309)&amp;IF(N309="","","; AQP4:"&amp;N309)&amp;IF(O309="","","; CAG-EGFP:"&amp;O309),3,200)</f>
        <v>AQP4:-</v>
      </c>
      <c r="Q309" s="8" t="s">
        <v>47</v>
      </c>
      <c r="R309" s="8" t="s">
        <v>14</v>
      </c>
      <c r="S309" s="8"/>
      <c r="T309" s="8"/>
    </row>
    <row r="310" customFormat="false" ht="17.15" hidden="false" customHeight="false" outlineLevel="0" collapsed="false">
      <c r="A310" s="7" t="s">
        <v>553</v>
      </c>
      <c r="B310" s="8" t="s">
        <v>108</v>
      </c>
      <c r="C310" s="8" t="n">
        <v>72</v>
      </c>
      <c r="D310" s="8" t="s">
        <v>33</v>
      </c>
      <c r="E310" s="9" t="n">
        <v>46051</v>
      </c>
      <c r="F310" s="8" t="n">
        <f aca="true">IF(E310="","",ROUND((TODAY()-E310)/7,1))</f>
        <v>19.4</v>
      </c>
      <c r="G310" s="8" t="s">
        <v>38</v>
      </c>
      <c r="H310" s="8"/>
      <c r="I310" s="8" t="s">
        <v>545</v>
      </c>
      <c r="J310" s="8" t="s">
        <v>546</v>
      </c>
      <c r="K310" s="8" t="n">
        <v>5</v>
      </c>
      <c r="L310" s="10"/>
      <c r="M310" s="10"/>
      <c r="N310" s="10" t="s">
        <v>83</v>
      </c>
      <c r="O310" s="10"/>
      <c r="P310" s="8" t="str">
        <f aca="false">MID(IF(L310="","","; APP:"&amp;L310)&amp;IF(M310="","","; PS1:"&amp;M310)&amp;IF(N310="","","; AQP4:"&amp;N310)&amp;IF(O310="","","; CAG-EGFP:"&amp;O310),3,200)</f>
        <v>AQP4:-</v>
      </c>
      <c r="Q310" s="8" t="s">
        <v>47</v>
      </c>
      <c r="R310" s="8" t="s">
        <v>14</v>
      </c>
      <c r="S310" s="8"/>
      <c r="T310" s="8"/>
    </row>
    <row r="311" customFormat="false" ht="17.15" hidden="false" customHeight="false" outlineLevel="0" collapsed="false">
      <c r="A311" s="7" t="s">
        <v>554</v>
      </c>
      <c r="B311" s="8" t="s">
        <v>108</v>
      </c>
      <c r="C311" s="8" t="n">
        <v>73</v>
      </c>
      <c r="D311" s="8" t="s">
        <v>33</v>
      </c>
      <c r="E311" s="9" t="n">
        <v>46051</v>
      </c>
      <c r="F311" s="8" t="n">
        <f aca="true">IF(E311="","",ROUND((TODAY()-E311)/7,1))</f>
        <v>19.4</v>
      </c>
      <c r="G311" s="8" t="s">
        <v>38</v>
      </c>
      <c r="H311" s="8"/>
      <c r="I311" s="8" t="s">
        <v>545</v>
      </c>
      <c r="J311" s="8" t="s">
        <v>546</v>
      </c>
      <c r="K311" s="8" t="n">
        <v>5</v>
      </c>
      <c r="L311" s="10"/>
      <c r="M311" s="10"/>
      <c r="N311" s="10" t="s">
        <v>83</v>
      </c>
      <c r="O311" s="10"/>
      <c r="P311" s="8" t="str">
        <f aca="false">MID(IF(L311="","","; APP:"&amp;L311)&amp;IF(M311="","","; PS1:"&amp;M311)&amp;IF(N311="","","; AQP4:"&amp;N311)&amp;IF(O311="","","; CAG-EGFP:"&amp;O311),3,200)</f>
        <v>AQP4:-</v>
      </c>
      <c r="Q311" s="8" t="s">
        <v>47</v>
      </c>
      <c r="R311" s="8" t="s">
        <v>14</v>
      </c>
      <c r="S311" s="8"/>
      <c r="T311" s="8"/>
    </row>
    <row r="312" customFormat="false" ht="17.15" hidden="false" customHeight="false" outlineLevel="0" collapsed="false">
      <c r="A312" s="7" t="s">
        <v>555</v>
      </c>
      <c r="B312" s="8" t="s">
        <v>108</v>
      </c>
      <c r="C312" s="8" t="n">
        <v>74</v>
      </c>
      <c r="D312" s="8" t="s">
        <v>46</v>
      </c>
      <c r="E312" s="9" t="n">
        <v>46051</v>
      </c>
      <c r="F312" s="8" t="n">
        <f aca="true">IF(E312="","",ROUND((TODAY()-E312)/7,1))</f>
        <v>19.4</v>
      </c>
      <c r="G312" s="8" t="s">
        <v>38</v>
      </c>
      <c r="H312" s="8"/>
      <c r="I312" s="8" t="s">
        <v>545</v>
      </c>
      <c r="J312" s="8" t="s">
        <v>546</v>
      </c>
      <c r="K312" s="8" t="n">
        <v>5</v>
      </c>
      <c r="L312" s="10"/>
      <c r="M312" s="10"/>
      <c r="N312" s="10" t="s">
        <v>83</v>
      </c>
      <c r="O312" s="10"/>
      <c r="P312" s="8" t="str">
        <f aca="false">MID(IF(L312="","","; APP:"&amp;L312)&amp;IF(M312="","","; PS1:"&amp;M312)&amp;IF(N312="","","; AQP4:"&amp;N312)&amp;IF(O312="","","; CAG-EGFP:"&amp;O312),3,200)</f>
        <v>AQP4:-</v>
      </c>
      <c r="Q312" s="8" t="s">
        <v>47</v>
      </c>
      <c r="R312" s="8" t="s">
        <v>63</v>
      </c>
      <c r="S312" s="8"/>
      <c r="T312" s="8" t="s">
        <v>556</v>
      </c>
    </row>
    <row r="313" customFormat="false" ht="17.15" hidden="false" customHeight="false" outlineLevel="0" collapsed="false">
      <c r="A313" s="7" t="s">
        <v>557</v>
      </c>
      <c r="B313" s="8" t="s">
        <v>108</v>
      </c>
      <c r="C313" s="8" t="n">
        <v>75</v>
      </c>
      <c r="D313" s="8" t="s">
        <v>33</v>
      </c>
      <c r="E313" s="9" t="n">
        <v>46054</v>
      </c>
      <c r="F313" s="8" t="n">
        <f aca="true">IF(E313="","",ROUND((TODAY()-E313)/7,1))</f>
        <v>19</v>
      </c>
      <c r="G313" s="8" t="s">
        <v>38</v>
      </c>
      <c r="H313" s="8"/>
      <c r="I313" s="8" t="s">
        <v>558</v>
      </c>
      <c r="J313" s="8" t="s">
        <v>559</v>
      </c>
      <c r="K313" s="8" t="n">
        <v>5</v>
      </c>
      <c r="L313" s="10"/>
      <c r="M313" s="10"/>
      <c r="N313" s="10" t="s">
        <v>83</v>
      </c>
      <c r="O313" s="10"/>
      <c r="P313" s="8" t="str">
        <f aca="false">MID(IF(L313="","","; APP:"&amp;L313)&amp;IF(M313="","","; PS1:"&amp;M313)&amp;IF(N313="","","; AQP4:"&amp;N313)&amp;IF(O313="","","; CAG-EGFP:"&amp;O313),3,200)</f>
        <v>AQP4:-</v>
      </c>
      <c r="Q313" s="8" t="s">
        <v>47</v>
      </c>
      <c r="R313" s="8" t="s">
        <v>14</v>
      </c>
      <c r="S313" s="8"/>
      <c r="T313" s="8" t="s">
        <v>547</v>
      </c>
    </row>
    <row r="314" customFormat="false" ht="17.15" hidden="false" customHeight="false" outlineLevel="0" collapsed="false">
      <c r="A314" s="7" t="s">
        <v>560</v>
      </c>
      <c r="B314" s="8" t="s">
        <v>108</v>
      </c>
      <c r="C314" s="8" t="n">
        <v>76</v>
      </c>
      <c r="D314" s="8" t="s">
        <v>46</v>
      </c>
      <c r="E314" s="9" t="n">
        <v>46054</v>
      </c>
      <c r="F314" s="8" t="n">
        <f aca="true">IF(E314="","",ROUND((TODAY()-E314)/7,1))</f>
        <v>19</v>
      </c>
      <c r="G314" s="8" t="s">
        <v>38</v>
      </c>
      <c r="H314" s="8"/>
      <c r="I314" s="8" t="s">
        <v>558</v>
      </c>
      <c r="J314" s="8" t="s">
        <v>559</v>
      </c>
      <c r="K314" s="8" t="n">
        <v>5</v>
      </c>
      <c r="L314" s="10"/>
      <c r="M314" s="10"/>
      <c r="N314" s="10" t="s">
        <v>83</v>
      </c>
      <c r="O314" s="10"/>
      <c r="P314" s="8" t="str">
        <f aca="false">MID(IF(L314="","","; APP:"&amp;L314)&amp;IF(M314="","","; PS1:"&amp;M314)&amp;IF(N314="","","; AQP4:"&amp;N314)&amp;IF(O314="","","; CAG-EGFP:"&amp;O314),3,200)</f>
        <v>AQP4:-</v>
      </c>
      <c r="Q314" s="8" t="s">
        <v>47</v>
      </c>
      <c r="R314" s="8" t="s">
        <v>63</v>
      </c>
      <c r="S314" s="8"/>
      <c r="T314" s="8" t="s">
        <v>556</v>
      </c>
    </row>
    <row r="315" customFormat="false" ht="17.15" hidden="false" customHeight="false" outlineLevel="0" collapsed="false">
      <c r="A315" s="7" t="s">
        <v>561</v>
      </c>
      <c r="B315" s="8" t="s">
        <v>108</v>
      </c>
      <c r="C315" s="8" t="n">
        <v>77</v>
      </c>
      <c r="D315" s="8" t="s">
        <v>46</v>
      </c>
      <c r="E315" s="9" t="n">
        <v>46054</v>
      </c>
      <c r="F315" s="8" t="n">
        <f aca="true">IF(E315="","",ROUND((TODAY()-E315)/7,1))</f>
        <v>19</v>
      </c>
      <c r="G315" s="8" t="s">
        <v>38</v>
      </c>
      <c r="H315" s="8"/>
      <c r="I315" s="8" t="s">
        <v>558</v>
      </c>
      <c r="J315" s="8" t="s">
        <v>559</v>
      </c>
      <c r="K315" s="8" t="n">
        <v>5</v>
      </c>
      <c r="L315" s="10"/>
      <c r="M315" s="10"/>
      <c r="N315" s="10" t="s">
        <v>83</v>
      </c>
      <c r="O315" s="10"/>
      <c r="P315" s="8" t="str">
        <f aca="false">MID(IF(L315="","","; APP:"&amp;L315)&amp;IF(M315="","","; PS1:"&amp;M315)&amp;IF(N315="","","; AQP4:"&amp;N315)&amp;IF(O315="","","; CAG-EGFP:"&amp;O315),3,200)</f>
        <v>AQP4:-</v>
      </c>
      <c r="Q315" s="8" t="s">
        <v>47</v>
      </c>
      <c r="R315" s="8" t="s">
        <v>74</v>
      </c>
      <c r="S315" s="8"/>
      <c r="T315" s="8" t="s">
        <v>562</v>
      </c>
    </row>
    <row r="316" customFormat="false" ht="17.15" hidden="false" customHeight="false" outlineLevel="0" collapsed="false">
      <c r="A316" s="7" t="s">
        <v>563</v>
      </c>
      <c r="B316" s="8" t="s">
        <v>108</v>
      </c>
      <c r="C316" s="8" t="n">
        <v>78</v>
      </c>
      <c r="D316" s="8" t="s">
        <v>46</v>
      </c>
      <c r="E316" s="9" t="n">
        <v>46054</v>
      </c>
      <c r="F316" s="8" t="n">
        <f aca="true">IF(E316="","",ROUND((TODAY()-E316)/7,1))</f>
        <v>19</v>
      </c>
      <c r="G316" s="8" t="s">
        <v>38</v>
      </c>
      <c r="H316" s="8"/>
      <c r="I316" s="8" t="s">
        <v>558</v>
      </c>
      <c r="J316" s="8" t="s">
        <v>559</v>
      </c>
      <c r="K316" s="8" t="n">
        <v>5</v>
      </c>
      <c r="L316" s="10"/>
      <c r="M316" s="10"/>
      <c r="N316" s="10" t="s">
        <v>83</v>
      </c>
      <c r="O316" s="10"/>
      <c r="P316" s="8" t="str">
        <f aca="false">MID(IF(L316="","","; APP:"&amp;L316)&amp;IF(M316="","","; PS1:"&amp;M316)&amp;IF(N316="","","; AQP4:"&amp;N316)&amp;IF(O316="","","; CAG-EGFP:"&amp;O316),3,200)</f>
        <v>AQP4:-</v>
      </c>
      <c r="Q316" s="8" t="s">
        <v>47</v>
      </c>
      <c r="R316" s="8" t="s">
        <v>63</v>
      </c>
      <c r="S316" s="8"/>
      <c r="T316" s="8" t="s">
        <v>564</v>
      </c>
    </row>
    <row r="317" customFormat="false" ht="17.15" hidden="false" customHeight="false" outlineLevel="0" collapsed="false">
      <c r="A317" s="7" t="s">
        <v>565</v>
      </c>
      <c r="B317" s="8" t="s">
        <v>108</v>
      </c>
      <c r="C317" s="8" t="n">
        <v>79</v>
      </c>
      <c r="D317" s="8" t="s">
        <v>46</v>
      </c>
      <c r="E317" s="9" t="n">
        <v>46054</v>
      </c>
      <c r="F317" s="8" t="n">
        <f aca="true">IF(E317="","",ROUND((TODAY()-E317)/7,1))</f>
        <v>19</v>
      </c>
      <c r="G317" s="8" t="s">
        <v>38</v>
      </c>
      <c r="H317" s="8"/>
      <c r="I317" s="8" t="s">
        <v>558</v>
      </c>
      <c r="J317" s="8" t="s">
        <v>559</v>
      </c>
      <c r="K317" s="8" t="n">
        <v>5</v>
      </c>
      <c r="L317" s="10"/>
      <c r="M317" s="10"/>
      <c r="N317" s="10" t="s">
        <v>83</v>
      </c>
      <c r="O317" s="10"/>
      <c r="P317" s="8" t="str">
        <f aca="false">MID(IF(L317="","","; APP:"&amp;L317)&amp;IF(M317="","","; PS1:"&amp;M317)&amp;IF(N317="","","; AQP4:"&amp;N317)&amp;IF(O317="","","; CAG-EGFP:"&amp;O317),3,200)</f>
        <v>AQP4:-</v>
      </c>
      <c r="Q317" s="8" t="s">
        <v>47</v>
      </c>
      <c r="R317" s="8" t="s">
        <v>63</v>
      </c>
      <c r="S317" s="8"/>
      <c r="T317" s="8" t="s">
        <v>566</v>
      </c>
    </row>
    <row r="318" customFormat="false" ht="17.15" hidden="false" customHeight="false" outlineLevel="0" collapsed="false">
      <c r="A318" s="7" t="s">
        <v>567</v>
      </c>
      <c r="B318" s="8" t="s">
        <v>108</v>
      </c>
      <c r="C318" s="8" t="n">
        <v>80</v>
      </c>
      <c r="D318" s="8" t="s">
        <v>46</v>
      </c>
      <c r="E318" s="9" t="n">
        <v>46054</v>
      </c>
      <c r="F318" s="8" t="n">
        <f aca="true">IF(E318="","",ROUND((TODAY()-E318)/7,1))</f>
        <v>19</v>
      </c>
      <c r="G318" s="8" t="s">
        <v>38</v>
      </c>
      <c r="H318" s="8"/>
      <c r="I318" s="8" t="s">
        <v>558</v>
      </c>
      <c r="J318" s="8" t="s">
        <v>559</v>
      </c>
      <c r="K318" s="8" t="n">
        <v>5</v>
      </c>
      <c r="L318" s="10"/>
      <c r="M318" s="10"/>
      <c r="N318" s="10" t="s">
        <v>83</v>
      </c>
      <c r="O318" s="10"/>
      <c r="P318" s="8" t="str">
        <f aca="false">MID(IF(L318="","","; APP:"&amp;L318)&amp;IF(M318="","","; PS1:"&amp;M318)&amp;IF(N318="","","; AQP4:"&amp;N318)&amp;IF(O318="","","; CAG-EGFP:"&amp;O318),3,200)</f>
        <v>AQP4:-</v>
      </c>
      <c r="Q318" s="8" t="s">
        <v>47</v>
      </c>
      <c r="R318" s="8" t="s">
        <v>63</v>
      </c>
      <c r="S318" s="8"/>
      <c r="T318" s="8" t="s">
        <v>566</v>
      </c>
    </row>
    <row r="319" customFormat="false" ht="17.15" hidden="false" customHeight="false" outlineLevel="0" collapsed="false">
      <c r="A319" s="7" t="s">
        <v>568</v>
      </c>
      <c r="B319" s="8" t="s">
        <v>108</v>
      </c>
      <c r="C319" s="8" t="n">
        <v>81</v>
      </c>
      <c r="D319" s="8"/>
      <c r="E319" s="9" t="n">
        <v>46160</v>
      </c>
      <c r="F319" s="8" t="n">
        <f aca="true">IF(E319="","",ROUND((TODAY()-E319)/7,1))</f>
        <v>3.9</v>
      </c>
      <c r="G319" s="8" t="s">
        <v>38</v>
      </c>
      <c r="H319" s="8"/>
      <c r="I319" s="8" t="s">
        <v>569</v>
      </c>
      <c r="J319" s="8" t="s">
        <v>570</v>
      </c>
      <c r="K319" s="8" t="n">
        <v>6</v>
      </c>
      <c r="L319" s="10"/>
      <c r="M319" s="10"/>
      <c r="N319" s="10" t="s">
        <v>83</v>
      </c>
      <c r="O319" s="10"/>
      <c r="P319" s="8" t="str">
        <f aca="false">MID(IF(L319="","","; APP:"&amp;L319)&amp;IF(M319="","","; PS1:"&amp;M319)&amp;IF(N319="","","; AQP4:"&amp;N319)&amp;IF(O319="","","; CAG-EGFP:"&amp;O319),3,200)</f>
        <v>AQP4:-</v>
      </c>
      <c r="Q319" s="8" t="s">
        <v>47</v>
      </c>
      <c r="R319" s="8" t="s">
        <v>88</v>
      </c>
      <c r="S319" s="8"/>
      <c r="T319" s="11" t="s">
        <v>571</v>
      </c>
    </row>
    <row r="320" customFormat="false" ht="17.15" hidden="false" customHeight="false" outlineLevel="0" collapsed="false">
      <c r="A320" s="7" t="s">
        <v>572</v>
      </c>
      <c r="B320" s="8" t="s">
        <v>108</v>
      </c>
      <c r="C320" s="8" t="n">
        <v>82</v>
      </c>
      <c r="D320" s="8"/>
      <c r="E320" s="9" t="n">
        <v>46160</v>
      </c>
      <c r="F320" s="8" t="n">
        <f aca="true">IF(E320="","",ROUND((TODAY()-E320)/7,1))</f>
        <v>3.9</v>
      </c>
      <c r="G320" s="8" t="s">
        <v>38</v>
      </c>
      <c r="H320" s="8"/>
      <c r="I320" s="8" t="s">
        <v>569</v>
      </c>
      <c r="J320" s="8" t="s">
        <v>570</v>
      </c>
      <c r="K320" s="8" t="n">
        <v>6</v>
      </c>
      <c r="L320" s="10"/>
      <c r="M320" s="10"/>
      <c r="N320" s="10" t="s">
        <v>83</v>
      </c>
      <c r="O320" s="10"/>
      <c r="P320" s="8" t="str">
        <f aca="false">MID(IF(L320="","","; APP:"&amp;L320)&amp;IF(M320="","","; PS1:"&amp;M320)&amp;IF(N320="","","; AQP4:"&amp;N320)&amp;IF(O320="","","; CAG-EGFP:"&amp;O320),3,200)</f>
        <v>AQP4:-</v>
      </c>
      <c r="Q320" s="8" t="s">
        <v>47</v>
      </c>
      <c r="R320" s="8" t="s">
        <v>14</v>
      </c>
      <c r="S320" s="8"/>
      <c r="T320" s="8"/>
    </row>
    <row r="321" customFormat="false" ht="17.15" hidden="false" customHeight="false" outlineLevel="0" collapsed="false">
      <c r="A321" s="7" t="s">
        <v>573</v>
      </c>
      <c r="B321" s="8" t="s">
        <v>108</v>
      </c>
      <c r="C321" s="8" t="n">
        <v>83</v>
      </c>
      <c r="D321" s="8"/>
      <c r="E321" s="9" t="n">
        <v>46160</v>
      </c>
      <c r="F321" s="8" t="n">
        <f aca="true">IF(E321="","",ROUND((TODAY()-E321)/7,1))</f>
        <v>3.9</v>
      </c>
      <c r="G321" s="8" t="s">
        <v>38</v>
      </c>
      <c r="H321" s="8"/>
      <c r="I321" s="8" t="s">
        <v>569</v>
      </c>
      <c r="J321" s="8" t="s">
        <v>570</v>
      </c>
      <c r="K321" s="8" t="n">
        <v>6</v>
      </c>
      <c r="L321" s="10"/>
      <c r="M321" s="10"/>
      <c r="N321" s="10" t="s">
        <v>83</v>
      </c>
      <c r="O321" s="10"/>
      <c r="P321" s="8" t="str">
        <f aca="false">MID(IF(L321="","","; APP:"&amp;L321)&amp;IF(M321="","","; PS1:"&amp;M321)&amp;IF(N321="","","; AQP4:"&amp;N321)&amp;IF(O321="","","; CAG-EGFP:"&amp;O321),3,200)</f>
        <v>AQP4:-</v>
      </c>
      <c r="Q321" s="8" t="s">
        <v>47</v>
      </c>
      <c r="R321" s="8" t="s">
        <v>14</v>
      </c>
      <c r="S321" s="8"/>
      <c r="T321" s="8"/>
    </row>
    <row r="322" customFormat="false" ht="17.15" hidden="false" customHeight="false" outlineLevel="0" collapsed="false">
      <c r="A322" s="7" t="s">
        <v>574</v>
      </c>
      <c r="B322" s="8" t="s">
        <v>108</v>
      </c>
      <c r="C322" s="8" t="n">
        <v>84</v>
      </c>
      <c r="D322" s="8"/>
      <c r="E322" s="9" t="n">
        <v>46160</v>
      </c>
      <c r="F322" s="8" t="n">
        <f aca="true">IF(E322="","",ROUND((TODAY()-E322)/7,1))</f>
        <v>3.9</v>
      </c>
      <c r="G322" s="8" t="s">
        <v>38</v>
      </c>
      <c r="H322" s="8"/>
      <c r="I322" s="8" t="s">
        <v>569</v>
      </c>
      <c r="J322" s="8" t="s">
        <v>570</v>
      </c>
      <c r="K322" s="8" t="n">
        <v>6</v>
      </c>
      <c r="L322" s="10"/>
      <c r="M322" s="10"/>
      <c r="N322" s="10" t="s">
        <v>83</v>
      </c>
      <c r="O322" s="10"/>
      <c r="P322" s="8" t="str">
        <f aca="false">MID(IF(L322="","","; APP:"&amp;L322)&amp;IF(M322="","","; PS1:"&amp;M322)&amp;IF(N322="","","; AQP4:"&amp;N322)&amp;IF(O322="","","; CAG-EGFP:"&amp;O322),3,200)</f>
        <v>AQP4:-</v>
      </c>
      <c r="Q322" s="8" t="s">
        <v>47</v>
      </c>
      <c r="R322" s="8" t="s">
        <v>14</v>
      </c>
      <c r="S322" s="8"/>
      <c r="T322" s="8"/>
    </row>
    <row r="323" customFormat="false" ht="17.15" hidden="false" customHeight="false" outlineLevel="0" collapsed="false">
      <c r="A323" s="7" t="s">
        <v>575</v>
      </c>
      <c r="B323" s="8" t="s">
        <v>108</v>
      </c>
      <c r="C323" s="8" t="n">
        <v>85</v>
      </c>
      <c r="D323" s="8"/>
      <c r="E323" s="9" t="n">
        <v>46160</v>
      </c>
      <c r="F323" s="8" t="n">
        <f aca="true">IF(E323="","",ROUND((TODAY()-E323)/7,1))</f>
        <v>3.9</v>
      </c>
      <c r="G323" s="8" t="s">
        <v>38</v>
      </c>
      <c r="H323" s="8"/>
      <c r="I323" s="8" t="s">
        <v>569</v>
      </c>
      <c r="J323" s="8" t="s">
        <v>570</v>
      </c>
      <c r="K323" s="8" t="n">
        <v>6</v>
      </c>
      <c r="L323" s="10"/>
      <c r="M323" s="10"/>
      <c r="N323" s="10" t="s">
        <v>83</v>
      </c>
      <c r="O323" s="10"/>
      <c r="P323" s="8" t="str">
        <f aca="false">MID(IF(L323="","","; APP:"&amp;L323)&amp;IF(M323="","","; PS1:"&amp;M323)&amp;IF(N323="","","; AQP4:"&amp;N323)&amp;IF(O323="","","; CAG-EGFP:"&amp;O323),3,200)</f>
        <v>AQP4:-</v>
      </c>
      <c r="Q323" s="8" t="s">
        <v>47</v>
      </c>
      <c r="R323" s="8" t="s">
        <v>14</v>
      </c>
      <c r="S323" s="8"/>
      <c r="T323" s="8"/>
    </row>
    <row r="324" customFormat="false" ht="17.15" hidden="false" customHeight="false" outlineLevel="0" collapsed="false">
      <c r="A324" s="7" t="s">
        <v>576</v>
      </c>
      <c r="B324" s="8" t="s">
        <v>108</v>
      </c>
      <c r="C324" s="8" t="n">
        <v>86</v>
      </c>
      <c r="D324" s="8"/>
      <c r="E324" s="9" t="n">
        <v>46160</v>
      </c>
      <c r="F324" s="8" t="n">
        <f aca="true">IF(E324="","",ROUND((TODAY()-E324)/7,1))</f>
        <v>3.9</v>
      </c>
      <c r="G324" s="8" t="s">
        <v>38</v>
      </c>
      <c r="H324" s="8"/>
      <c r="I324" s="8" t="s">
        <v>569</v>
      </c>
      <c r="J324" s="8" t="s">
        <v>570</v>
      </c>
      <c r="K324" s="8" t="n">
        <v>6</v>
      </c>
      <c r="L324" s="10"/>
      <c r="M324" s="10"/>
      <c r="N324" s="10" t="s">
        <v>83</v>
      </c>
      <c r="O324" s="10"/>
      <c r="P324" s="8" t="str">
        <f aca="false">MID(IF(L324="","","; APP:"&amp;L324)&amp;IF(M324="","","; PS1:"&amp;M324)&amp;IF(N324="","","; AQP4:"&amp;N324)&amp;IF(O324="","","; CAG-EGFP:"&amp;O324),3,200)</f>
        <v>AQP4:-</v>
      </c>
      <c r="Q324" s="8" t="s">
        <v>47</v>
      </c>
      <c r="R324" s="8" t="s">
        <v>14</v>
      </c>
      <c r="S324" s="8"/>
      <c r="T324" s="8"/>
    </row>
    <row r="325" customFormat="false" ht="17.15" hidden="false" customHeight="false" outlineLevel="0" collapsed="false">
      <c r="A325" s="7" t="s">
        <v>577</v>
      </c>
      <c r="B325" s="8" t="s">
        <v>108</v>
      </c>
      <c r="C325" s="8" t="n">
        <v>87</v>
      </c>
      <c r="D325" s="8"/>
      <c r="E325" s="9" t="n">
        <v>46161</v>
      </c>
      <c r="F325" s="8" t="n">
        <f aca="true">IF(E325="","",ROUND((TODAY()-E325)/7,1))</f>
        <v>3.7</v>
      </c>
      <c r="G325" s="8" t="s">
        <v>38</v>
      </c>
      <c r="H325" s="8"/>
      <c r="I325" s="8" t="s">
        <v>578</v>
      </c>
      <c r="J325" s="8" t="s">
        <v>579</v>
      </c>
      <c r="K325" s="8" t="n">
        <v>6</v>
      </c>
      <c r="L325" s="10"/>
      <c r="M325" s="10"/>
      <c r="N325" s="10" t="s">
        <v>83</v>
      </c>
      <c r="O325" s="10"/>
      <c r="P325" s="8" t="str">
        <f aca="false">MID(IF(L325="","","; APP:"&amp;L325)&amp;IF(M325="","","; PS1:"&amp;M325)&amp;IF(N325="","","; AQP4:"&amp;N325)&amp;IF(O325="","","; CAG-EGFP:"&amp;O325),3,200)</f>
        <v>AQP4:-</v>
      </c>
      <c r="Q325" s="8" t="s">
        <v>47</v>
      </c>
      <c r="R325" s="8" t="s">
        <v>88</v>
      </c>
      <c r="S325" s="8"/>
      <c r="T325" s="11" t="s">
        <v>571</v>
      </c>
    </row>
    <row r="326" customFormat="false" ht="17.15" hidden="false" customHeight="false" outlineLevel="0" collapsed="false">
      <c r="A326" s="7" t="s">
        <v>580</v>
      </c>
      <c r="B326" s="8" t="s">
        <v>108</v>
      </c>
      <c r="C326" s="8" t="n">
        <v>88</v>
      </c>
      <c r="D326" s="8"/>
      <c r="E326" s="9" t="n">
        <v>46161</v>
      </c>
      <c r="F326" s="8" t="n">
        <f aca="true">IF(E326="","",ROUND((TODAY()-E326)/7,1))</f>
        <v>3.7</v>
      </c>
      <c r="G326" s="8" t="s">
        <v>38</v>
      </c>
      <c r="H326" s="8"/>
      <c r="I326" s="8" t="s">
        <v>578</v>
      </c>
      <c r="J326" s="8" t="s">
        <v>579</v>
      </c>
      <c r="K326" s="8" t="n">
        <v>6</v>
      </c>
      <c r="L326" s="10"/>
      <c r="M326" s="10"/>
      <c r="N326" s="10" t="s">
        <v>83</v>
      </c>
      <c r="O326" s="10"/>
      <c r="P326" s="8" t="str">
        <f aca="false">MID(IF(L326="","","; APP:"&amp;L326)&amp;IF(M326="","","; PS1:"&amp;M326)&amp;IF(N326="","","; AQP4:"&amp;N326)&amp;IF(O326="","","; CAG-EGFP:"&amp;O326),3,200)</f>
        <v>AQP4:-</v>
      </c>
      <c r="Q326" s="8" t="s">
        <v>47</v>
      </c>
      <c r="R326" s="8" t="s">
        <v>14</v>
      </c>
      <c r="S326" s="8"/>
      <c r="T326" s="8"/>
    </row>
    <row r="327" customFormat="false" ht="17.15" hidden="false" customHeight="false" outlineLevel="0" collapsed="false">
      <c r="A327" s="7" t="s">
        <v>581</v>
      </c>
      <c r="B327" s="8" t="s">
        <v>108</v>
      </c>
      <c r="C327" s="8" t="n">
        <v>89</v>
      </c>
      <c r="D327" s="8"/>
      <c r="E327" s="9" t="n">
        <v>46161</v>
      </c>
      <c r="F327" s="8" t="n">
        <f aca="true">IF(E327="","",ROUND((TODAY()-E327)/7,1))</f>
        <v>3.7</v>
      </c>
      <c r="G327" s="8" t="s">
        <v>38</v>
      </c>
      <c r="H327" s="8"/>
      <c r="I327" s="8" t="s">
        <v>578</v>
      </c>
      <c r="J327" s="8" t="s">
        <v>579</v>
      </c>
      <c r="K327" s="8" t="n">
        <v>6</v>
      </c>
      <c r="L327" s="10"/>
      <c r="M327" s="10"/>
      <c r="N327" s="10" t="s">
        <v>83</v>
      </c>
      <c r="O327" s="10"/>
      <c r="P327" s="8" t="str">
        <f aca="false">MID(IF(L327="","","; APP:"&amp;L327)&amp;IF(M327="","","; PS1:"&amp;M327)&amp;IF(N327="","","; AQP4:"&amp;N327)&amp;IF(O327="","","; CAG-EGFP:"&amp;O327),3,200)</f>
        <v>AQP4:-</v>
      </c>
      <c r="Q327" s="8" t="s">
        <v>47</v>
      </c>
      <c r="R327" s="8" t="s">
        <v>14</v>
      </c>
      <c r="S327" s="8"/>
      <c r="T327" s="8"/>
    </row>
    <row r="328" customFormat="false" ht="17.15" hidden="false" customHeight="false" outlineLevel="0" collapsed="false">
      <c r="A328" s="7" t="s">
        <v>582</v>
      </c>
      <c r="B328" s="8" t="s">
        <v>108</v>
      </c>
      <c r="C328" s="8" t="n">
        <v>90</v>
      </c>
      <c r="D328" s="8"/>
      <c r="E328" s="9" t="n">
        <v>46161</v>
      </c>
      <c r="F328" s="8" t="n">
        <f aca="true">IF(E328="","",ROUND((TODAY()-E328)/7,1))</f>
        <v>3.7</v>
      </c>
      <c r="G328" s="8" t="s">
        <v>38</v>
      </c>
      <c r="H328" s="8"/>
      <c r="I328" s="8" t="s">
        <v>578</v>
      </c>
      <c r="J328" s="8" t="s">
        <v>579</v>
      </c>
      <c r="K328" s="8" t="n">
        <v>6</v>
      </c>
      <c r="L328" s="10"/>
      <c r="M328" s="10"/>
      <c r="N328" s="10" t="s">
        <v>83</v>
      </c>
      <c r="O328" s="10"/>
      <c r="P328" s="8" t="str">
        <f aca="false">MID(IF(L328="","","; APP:"&amp;L328)&amp;IF(M328="","","; PS1:"&amp;M328)&amp;IF(N328="","","; AQP4:"&amp;N328)&amp;IF(O328="","","; CAG-EGFP:"&amp;O328),3,200)</f>
        <v>AQP4:-</v>
      </c>
      <c r="Q328" s="8" t="s">
        <v>47</v>
      </c>
      <c r="R328" s="8" t="s">
        <v>14</v>
      </c>
      <c r="S328" s="8"/>
      <c r="T328" s="8"/>
    </row>
    <row r="329" customFormat="false" ht="17.15" hidden="false" customHeight="false" outlineLevel="0" collapsed="false">
      <c r="A329" s="7" t="s">
        <v>583</v>
      </c>
      <c r="B329" s="8" t="s">
        <v>108</v>
      </c>
      <c r="C329" s="8" t="n">
        <v>91</v>
      </c>
      <c r="D329" s="8"/>
      <c r="E329" s="9" t="n">
        <v>46161</v>
      </c>
      <c r="F329" s="8" t="n">
        <f aca="true">IF(E329="","",ROUND((TODAY()-E329)/7,1))</f>
        <v>3.7</v>
      </c>
      <c r="G329" s="8" t="s">
        <v>38</v>
      </c>
      <c r="H329" s="8"/>
      <c r="I329" s="8" t="s">
        <v>578</v>
      </c>
      <c r="J329" s="8" t="s">
        <v>579</v>
      </c>
      <c r="K329" s="8" t="n">
        <v>6</v>
      </c>
      <c r="L329" s="10"/>
      <c r="M329" s="10"/>
      <c r="N329" s="10" t="s">
        <v>83</v>
      </c>
      <c r="O329" s="10"/>
      <c r="P329" s="8" t="str">
        <f aca="false">MID(IF(L329="","","; APP:"&amp;L329)&amp;IF(M329="","","; PS1:"&amp;M329)&amp;IF(N329="","","; AQP4:"&amp;N329)&amp;IF(O329="","","; CAG-EGFP:"&amp;O329),3,200)</f>
        <v>AQP4:-</v>
      </c>
      <c r="Q329" s="8" t="s">
        <v>47</v>
      </c>
      <c r="R329" s="8" t="s">
        <v>14</v>
      </c>
      <c r="S329" s="8"/>
      <c r="T329" s="8"/>
    </row>
    <row r="330" customFormat="false" ht="17.15" hidden="false" customHeight="false" outlineLevel="0" collapsed="false">
      <c r="A330" s="7" t="s">
        <v>584</v>
      </c>
      <c r="B330" s="8" t="s">
        <v>108</v>
      </c>
      <c r="C330" s="8" t="n">
        <v>92</v>
      </c>
      <c r="D330" s="8"/>
      <c r="E330" s="9" t="n">
        <v>46161</v>
      </c>
      <c r="F330" s="8" t="n">
        <f aca="true">IF(E330="","",ROUND((TODAY()-E330)/7,1))</f>
        <v>3.7</v>
      </c>
      <c r="G330" s="8" t="s">
        <v>38</v>
      </c>
      <c r="H330" s="8"/>
      <c r="I330" s="8" t="s">
        <v>578</v>
      </c>
      <c r="J330" s="8" t="s">
        <v>579</v>
      </c>
      <c r="K330" s="8" t="n">
        <v>6</v>
      </c>
      <c r="L330" s="10"/>
      <c r="M330" s="10"/>
      <c r="N330" s="10" t="s">
        <v>83</v>
      </c>
      <c r="O330" s="10"/>
      <c r="P330" s="8" t="str">
        <f aca="false">MID(IF(L330="","","; APP:"&amp;L330)&amp;IF(M330="","","; PS1:"&amp;M330)&amp;IF(N330="","","; AQP4:"&amp;N330)&amp;IF(O330="","","; CAG-EGFP:"&amp;O330),3,200)</f>
        <v>AQP4:-</v>
      </c>
      <c r="Q330" s="8" t="s">
        <v>47</v>
      </c>
      <c r="R330" s="8" t="s">
        <v>14</v>
      </c>
      <c r="S330" s="8"/>
      <c r="T330" s="8"/>
    </row>
    <row r="331" customFormat="false" ht="17.15" hidden="false" customHeight="false" outlineLevel="0" collapsed="false">
      <c r="A331" s="7" t="s">
        <v>585</v>
      </c>
      <c r="B331" s="8" t="s">
        <v>108</v>
      </c>
      <c r="C331" s="8" t="n">
        <v>93</v>
      </c>
      <c r="D331" s="8"/>
      <c r="E331" s="9" t="n">
        <v>46161</v>
      </c>
      <c r="F331" s="8" t="n">
        <f aca="true">IF(E331="","",ROUND((TODAY()-E331)/7,1))</f>
        <v>3.7</v>
      </c>
      <c r="G331" s="8" t="s">
        <v>38</v>
      </c>
      <c r="H331" s="8"/>
      <c r="I331" s="8" t="s">
        <v>578</v>
      </c>
      <c r="J331" s="8" t="s">
        <v>579</v>
      </c>
      <c r="K331" s="8" t="n">
        <v>6</v>
      </c>
      <c r="L331" s="10"/>
      <c r="M331" s="10"/>
      <c r="N331" s="10" t="s">
        <v>83</v>
      </c>
      <c r="O331" s="10"/>
      <c r="P331" s="8" t="str">
        <f aca="false">MID(IF(L331="","","; APP:"&amp;L331)&amp;IF(M331="","","; PS1:"&amp;M331)&amp;IF(N331="","","; AQP4:"&amp;N331)&amp;IF(O331="","","; CAG-EGFP:"&amp;O331),3,200)</f>
        <v>AQP4:-</v>
      </c>
      <c r="Q331" s="8" t="s">
        <v>47</v>
      </c>
      <c r="R331" s="8" t="s">
        <v>14</v>
      </c>
      <c r="S331" s="8"/>
      <c r="T331" s="8"/>
    </row>
    <row r="332" customFormat="false" ht="17.15" hidden="false" customHeight="false" outlineLevel="0" collapsed="false">
      <c r="A332" s="7" t="s">
        <v>586</v>
      </c>
      <c r="B332" s="8" t="s">
        <v>108</v>
      </c>
      <c r="C332" s="8" t="n">
        <v>94</v>
      </c>
      <c r="D332" s="8"/>
      <c r="E332" s="9" t="n">
        <v>46161</v>
      </c>
      <c r="F332" s="8" t="n">
        <f aca="true">IF(E332="","",ROUND((TODAY()-E332)/7,1))</f>
        <v>3.7</v>
      </c>
      <c r="G332" s="8" t="s">
        <v>38</v>
      </c>
      <c r="H332" s="8"/>
      <c r="I332" s="8" t="s">
        <v>578</v>
      </c>
      <c r="J332" s="8" t="s">
        <v>579</v>
      </c>
      <c r="K332" s="8" t="n">
        <v>6</v>
      </c>
      <c r="L332" s="10"/>
      <c r="M332" s="10"/>
      <c r="N332" s="10" t="s">
        <v>83</v>
      </c>
      <c r="O332" s="10"/>
      <c r="P332" s="8" t="str">
        <f aca="false">MID(IF(L332="","","; APP:"&amp;L332)&amp;IF(M332="","","; PS1:"&amp;M332)&amp;IF(N332="","","; AQP4:"&amp;N332)&amp;IF(O332="","","; CAG-EGFP:"&amp;O332),3,200)</f>
        <v>AQP4:-</v>
      </c>
      <c r="Q332" s="8" t="s">
        <v>47</v>
      </c>
      <c r="R332" s="8" t="s">
        <v>14</v>
      </c>
      <c r="S332" s="8"/>
      <c r="T332" s="8"/>
    </row>
    <row r="333" customFormat="false" ht="17.15" hidden="false" customHeight="false" outlineLevel="0" collapsed="false">
      <c r="A333" s="7" t="s">
        <v>587</v>
      </c>
      <c r="B333" s="8" t="s">
        <v>108</v>
      </c>
      <c r="C333" s="8" t="n">
        <v>95</v>
      </c>
      <c r="D333" s="8"/>
      <c r="E333" s="9" t="n">
        <v>46161</v>
      </c>
      <c r="F333" s="8" t="n">
        <f aca="true">IF(E333="","",ROUND((TODAY()-E333)/7,1))</f>
        <v>3.7</v>
      </c>
      <c r="G333" s="8" t="s">
        <v>38</v>
      </c>
      <c r="H333" s="8"/>
      <c r="I333" s="8" t="s">
        <v>578</v>
      </c>
      <c r="J333" s="8" t="s">
        <v>579</v>
      </c>
      <c r="K333" s="8" t="n">
        <v>6</v>
      </c>
      <c r="L333" s="10"/>
      <c r="M333" s="10"/>
      <c r="N333" s="10" t="s">
        <v>83</v>
      </c>
      <c r="O333" s="10"/>
      <c r="P333" s="8" t="str">
        <f aca="false">MID(IF(L333="","","; APP:"&amp;L333)&amp;IF(M333="","","; PS1:"&amp;M333)&amp;IF(N333="","","; AQP4:"&amp;N333)&amp;IF(O333="","","; CAG-EGFP:"&amp;O333),3,200)</f>
        <v>AQP4:-</v>
      </c>
      <c r="Q333" s="8" t="s">
        <v>47</v>
      </c>
      <c r="R333" s="8" t="s">
        <v>14</v>
      </c>
      <c r="S333" s="8"/>
      <c r="T333" s="8"/>
    </row>
    <row r="334" customFormat="false" ht="17.15" hidden="false" customHeight="false" outlineLevel="0" collapsed="false">
      <c r="A334" s="7" t="s">
        <v>588</v>
      </c>
      <c r="B334" s="8" t="s">
        <v>108</v>
      </c>
      <c r="C334" s="8" t="n">
        <v>96</v>
      </c>
      <c r="D334" s="8"/>
      <c r="E334" s="9" t="n">
        <v>46161</v>
      </c>
      <c r="F334" s="8" t="n">
        <f aca="true">IF(E334="","",ROUND((TODAY()-E334)/7,1))</f>
        <v>3.7</v>
      </c>
      <c r="G334" s="8" t="s">
        <v>38</v>
      </c>
      <c r="H334" s="8"/>
      <c r="I334" s="8" t="s">
        <v>578</v>
      </c>
      <c r="J334" s="8" t="s">
        <v>579</v>
      </c>
      <c r="K334" s="8" t="n">
        <v>6</v>
      </c>
      <c r="L334" s="10"/>
      <c r="M334" s="10"/>
      <c r="N334" s="10" t="s">
        <v>83</v>
      </c>
      <c r="O334" s="10"/>
      <c r="P334" s="8" t="str">
        <f aca="false">MID(IF(L334="","","; APP:"&amp;L334)&amp;IF(M334="","","; PS1:"&amp;M334)&amp;IF(N334="","","; AQP4:"&amp;N334)&amp;IF(O334="","","; CAG-EGFP:"&amp;O334),3,200)</f>
        <v>AQP4:-</v>
      </c>
      <c r="Q334" s="8" t="s">
        <v>47</v>
      </c>
      <c r="R334" s="8" t="s">
        <v>14</v>
      </c>
      <c r="S334" s="8"/>
      <c r="T334" s="8"/>
    </row>
    <row r="335" customFormat="false" ht="15" hidden="false" customHeight="false" outlineLevel="0" collapsed="false">
      <c r="A335" s="7" t="s">
        <v>589</v>
      </c>
      <c r="B335" s="8" t="s">
        <v>108</v>
      </c>
      <c r="C335" s="8" t="n">
        <v>97</v>
      </c>
      <c r="D335" s="8"/>
      <c r="E335" s="8"/>
      <c r="F335" s="8" t="str">
        <f aca="true">IF(E335="","",ROUND((TODAY()-E335)/7,1))</f>
        <v/>
      </c>
      <c r="G335" s="8" t="s">
        <v>38</v>
      </c>
      <c r="H335" s="8"/>
      <c r="I335" s="8"/>
      <c r="J335" s="8"/>
      <c r="K335" s="8" t="n">
        <v>4</v>
      </c>
      <c r="L335" s="10"/>
      <c r="M335" s="10"/>
      <c r="N335" s="10" t="s">
        <v>83</v>
      </c>
      <c r="O335" s="10"/>
      <c r="P335" s="8" t="str">
        <f aca="false">MID(IF(L335="","","; APP:"&amp;L335)&amp;IF(M335="","","; PS1:"&amp;M335)&amp;IF(N335="","","; AQP4:"&amp;N335)&amp;IF(O335="","","; CAG-EGFP:"&amp;O335),3,200)</f>
        <v>AQP4:-</v>
      </c>
      <c r="Q335" s="8" t="s">
        <v>47</v>
      </c>
      <c r="R335" s="8"/>
      <c r="S335" s="8"/>
      <c r="T335" s="8"/>
    </row>
    <row r="336" customFormat="false" ht="15" hidden="false" customHeight="false" outlineLevel="0" collapsed="false">
      <c r="A336" s="7" t="s">
        <v>590</v>
      </c>
      <c r="B336" s="8" t="s">
        <v>108</v>
      </c>
      <c r="C336" s="8" t="n">
        <v>98</v>
      </c>
      <c r="D336" s="8"/>
      <c r="E336" s="8"/>
      <c r="F336" s="8" t="str">
        <f aca="true">IF(E336="","",ROUND((TODAY()-E336)/7,1))</f>
        <v/>
      </c>
      <c r="G336" s="8" t="s">
        <v>38</v>
      </c>
      <c r="H336" s="8"/>
      <c r="I336" s="8"/>
      <c r="J336" s="8"/>
      <c r="K336" s="8" t="n">
        <v>4</v>
      </c>
      <c r="L336" s="10"/>
      <c r="M336" s="10"/>
      <c r="N336" s="10" t="s">
        <v>83</v>
      </c>
      <c r="O336" s="10"/>
      <c r="P336" s="8" t="str">
        <f aca="false">MID(IF(L336="","","; APP:"&amp;L336)&amp;IF(M336="","","; PS1:"&amp;M336)&amp;IF(N336="","","; AQP4:"&amp;N336)&amp;IF(O336="","","; CAG-EGFP:"&amp;O336),3,200)</f>
        <v>AQP4:-</v>
      </c>
      <c r="Q336" s="8" t="s">
        <v>47</v>
      </c>
      <c r="R336" s="8"/>
      <c r="S336" s="8"/>
      <c r="T336" s="8"/>
    </row>
    <row r="337" customFormat="false" ht="15" hidden="false" customHeight="false" outlineLevel="0" collapsed="false">
      <c r="A337" s="7" t="s">
        <v>591</v>
      </c>
      <c r="B337" s="8" t="s">
        <v>108</v>
      </c>
      <c r="C337" s="8" t="n">
        <v>99</v>
      </c>
      <c r="D337" s="8"/>
      <c r="E337" s="8"/>
      <c r="F337" s="8" t="str">
        <f aca="true">IF(E337="","",ROUND((TODAY()-E337)/7,1))</f>
        <v/>
      </c>
      <c r="G337" s="8" t="s">
        <v>38</v>
      </c>
      <c r="H337" s="8"/>
      <c r="I337" s="8"/>
      <c r="J337" s="8"/>
      <c r="K337" s="8" t="n">
        <v>4</v>
      </c>
      <c r="L337" s="10"/>
      <c r="M337" s="10"/>
      <c r="N337" s="10" t="s">
        <v>83</v>
      </c>
      <c r="O337" s="10"/>
      <c r="P337" s="8" t="str">
        <f aca="false">MID(IF(L337="","","; APP:"&amp;L337)&amp;IF(M337="","","; PS1:"&amp;M337)&amp;IF(N337="","","; AQP4:"&amp;N337)&amp;IF(O337="","","; CAG-EGFP:"&amp;O337),3,200)</f>
        <v>AQP4:-</v>
      </c>
      <c r="Q337" s="8" t="s">
        <v>47</v>
      </c>
      <c r="R337" s="8"/>
      <c r="S337" s="8"/>
      <c r="T337" s="8"/>
    </row>
    <row r="338" customFormat="false" ht="15" hidden="false" customHeight="false" outlineLevel="0" collapsed="false">
      <c r="A338" s="7" t="s">
        <v>592</v>
      </c>
      <c r="B338" s="8" t="s">
        <v>108</v>
      </c>
      <c r="C338" s="8" t="n">
        <v>100</v>
      </c>
      <c r="D338" s="8"/>
      <c r="E338" s="8"/>
      <c r="F338" s="8" t="str">
        <f aca="true">IF(E338="","",ROUND((TODAY()-E338)/7,1))</f>
        <v/>
      </c>
      <c r="G338" s="8" t="s">
        <v>38</v>
      </c>
      <c r="H338" s="8"/>
      <c r="I338" s="8"/>
      <c r="J338" s="8"/>
      <c r="K338" s="8" t="n">
        <v>4</v>
      </c>
      <c r="L338" s="10"/>
      <c r="M338" s="10"/>
      <c r="N338" s="10" t="s">
        <v>83</v>
      </c>
      <c r="O338" s="10"/>
      <c r="P338" s="8" t="str">
        <f aca="false">MID(IF(L338="","","; APP:"&amp;L338)&amp;IF(M338="","","; PS1:"&amp;M338)&amp;IF(N338="","","; AQP4:"&amp;N338)&amp;IF(O338="","","; CAG-EGFP:"&amp;O338),3,200)</f>
        <v>AQP4:-</v>
      </c>
      <c r="Q338" s="8" t="s">
        <v>47</v>
      </c>
      <c r="R338" s="8"/>
      <c r="S338" s="8"/>
      <c r="T338" s="8"/>
    </row>
    <row r="339" customFormat="false" ht="15" hidden="false" customHeight="false" outlineLevel="0" collapsed="false">
      <c r="A339" s="7" t="s">
        <v>593</v>
      </c>
      <c r="B339" s="8" t="s">
        <v>108</v>
      </c>
      <c r="C339" s="8" t="n">
        <v>101</v>
      </c>
      <c r="D339" s="8"/>
      <c r="E339" s="8"/>
      <c r="F339" s="8" t="str">
        <f aca="true">IF(E339="","",ROUND((TODAY()-E339)/7,1))</f>
        <v/>
      </c>
      <c r="G339" s="8" t="s">
        <v>38</v>
      </c>
      <c r="H339" s="8"/>
      <c r="I339" s="8"/>
      <c r="J339" s="8"/>
      <c r="K339" s="8" t="n">
        <v>4</v>
      </c>
      <c r="L339" s="10"/>
      <c r="M339" s="10"/>
      <c r="N339" s="10" t="s">
        <v>83</v>
      </c>
      <c r="O339" s="10"/>
      <c r="P339" s="8" t="str">
        <f aca="false">MID(IF(L339="","","; APP:"&amp;L339)&amp;IF(M339="","","; PS1:"&amp;M339)&amp;IF(N339="","","; AQP4:"&amp;N339)&amp;IF(O339="","","; CAG-EGFP:"&amp;O339),3,200)</f>
        <v>AQP4:-</v>
      </c>
      <c r="Q339" s="8" t="s">
        <v>47</v>
      </c>
      <c r="R339" s="8"/>
      <c r="S339" s="8"/>
      <c r="T339" s="8"/>
    </row>
    <row r="340" customFormat="false" ht="15" hidden="false" customHeight="false" outlineLevel="0" collapsed="false">
      <c r="A340" s="7" t="s">
        <v>594</v>
      </c>
      <c r="B340" s="8" t="s">
        <v>108</v>
      </c>
      <c r="C340" s="8" t="n">
        <v>102</v>
      </c>
      <c r="D340" s="8"/>
      <c r="E340" s="8"/>
      <c r="F340" s="8" t="str">
        <f aca="true">IF(E340="","",ROUND((TODAY()-E340)/7,1))</f>
        <v/>
      </c>
      <c r="G340" s="8" t="s">
        <v>38</v>
      </c>
      <c r="H340" s="8"/>
      <c r="I340" s="8"/>
      <c r="J340" s="8"/>
      <c r="K340" s="8" t="n">
        <v>4</v>
      </c>
      <c r="L340" s="10"/>
      <c r="M340" s="10"/>
      <c r="N340" s="10" t="s">
        <v>83</v>
      </c>
      <c r="O340" s="10"/>
      <c r="P340" s="8" t="str">
        <f aca="false">MID(IF(L340="","","; APP:"&amp;L340)&amp;IF(M340="","","; PS1:"&amp;M340)&amp;IF(N340="","","; AQP4:"&amp;N340)&amp;IF(O340="","","; CAG-EGFP:"&amp;O340),3,200)</f>
        <v>AQP4:-</v>
      </c>
      <c r="Q340" s="8" t="s">
        <v>47</v>
      </c>
      <c r="R340" s="8"/>
      <c r="S340" s="8"/>
      <c r="T340" s="8"/>
    </row>
    <row r="341" customFormat="false" ht="15" hidden="false" customHeight="false" outlineLevel="0" collapsed="false">
      <c r="A341" s="7" t="s">
        <v>595</v>
      </c>
      <c r="B341" s="8" t="s">
        <v>108</v>
      </c>
      <c r="C341" s="8" t="n">
        <v>103</v>
      </c>
      <c r="D341" s="8"/>
      <c r="E341" s="8"/>
      <c r="F341" s="8" t="str">
        <f aca="true">IF(E341="","",ROUND((TODAY()-E341)/7,1))</f>
        <v/>
      </c>
      <c r="G341" s="8" t="s">
        <v>38</v>
      </c>
      <c r="H341" s="8"/>
      <c r="I341" s="8"/>
      <c r="J341" s="8"/>
      <c r="K341" s="8" t="n">
        <v>4</v>
      </c>
      <c r="L341" s="10"/>
      <c r="M341" s="10"/>
      <c r="N341" s="10" t="s">
        <v>83</v>
      </c>
      <c r="O341" s="10"/>
      <c r="P341" s="8" t="str">
        <f aca="false">MID(IF(L341="","","; APP:"&amp;L341)&amp;IF(M341="","","; PS1:"&amp;M341)&amp;IF(N341="","","; AQP4:"&amp;N341)&amp;IF(O341="","","; CAG-EGFP:"&amp;O341),3,200)</f>
        <v>AQP4:-</v>
      </c>
      <c r="Q341" s="8" t="s">
        <v>47</v>
      </c>
      <c r="R341" s="8"/>
      <c r="S341" s="8"/>
      <c r="T341" s="8"/>
    </row>
    <row r="342" customFormat="false" ht="15" hidden="false" customHeight="false" outlineLevel="0" collapsed="false">
      <c r="A342" s="7" t="s">
        <v>596</v>
      </c>
      <c r="B342" s="8" t="s">
        <v>108</v>
      </c>
      <c r="C342" s="8" t="n">
        <v>104</v>
      </c>
      <c r="D342" s="8"/>
      <c r="E342" s="8"/>
      <c r="F342" s="8" t="str">
        <f aca="true">IF(E342="","",ROUND((TODAY()-E342)/7,1))</f>
        <v/>
      </c>
      <c r="G342" s="8" t="s">
        <v>38</v>
      </c>
      <c r="H342" s="8"/>
      <c r="I342" s="8"/>
      <c r="J342" s="8"/>
      <c r="K342" s="8" t="n">
        <v>4</v>
      </c>
      <c r="L342" s="10"/>
      <c r="M342" s="10"/>
      <c r="N342" s="10" t="s">
        <v>83</v>
      </c>
      <c r="O342" s="10"/>
      <c r="P342" s="8" t="str">
        <f aca="false">MID(IF(L342="","","; APP:"&amp;L342)&amp;IF(M342="","","; PS1:"&amp;M342)&amp;IF(N342="","","; AQP4:"&amp;N342)&amp;IF(O342="","","; CAG-EGFP:"&amp;O342),3,200)</f>
        <v>AQP4:-</v>
      </c>
      <c r="Q342" s="8" t="s">
        <v>47</v>
      </c>
      <c r="R342" s="8"/>
      <c r="S342" s="8"/>
      <c r="T342" s="8"/>
    </row>
    <row r="343" customFormat="false" ht="15" hidden="false" customHeight="false" outlineLevel="0" collapsed="false">
      <c r="A343" s="7" t="s">
        <v>597</v>
      </c>
      <c r="B343" s="8" t="s">
        <v>108</v>
      </c>
      <c r="C343" s="8" t="n">
        <v>105</v>
      </c>
      <c r="D343" s="8"/>
      <c r="E343" s="8"/>
      <c r="F343" s="8" t="str">
        <f aca="true">IF(E343="","",ROUND((TODAY()-E343)/7,1))</f>
        <v/>
      </c>
      <c r="G343" s="8" t="s">
        <v>38</v>
      </c>
      <c r="H343" s="8"/>
      <c r="I343" s="8"/>
      <c r="J343" s="8"/>
      <c r="K343" s="8" t="n">
        <v>4</v>
      </c>
      <c r="L343" s="10"/>
      <c r="M343" s="10"/>
      <c r="N343" s="10" t="s">
        <v>83</v>
      </c>
      <c r="O343" s="10"/>
      <c r="P343" s="8" t="str">
        <f aca="false">MID(IF(L343="","","; APP:"&amp;L343)&amp;IF(M343="","","; PS1:"&amp;M343)&amp;IF(N343="","","; AQP4:"&amp;N343)&amp;IF(O343="","","; CAG-EGFP:"&amp;O343),3,200)</f>
        <v>AQP4:-</v>
      </c>
      <c r="Q343" s="8" t="s">
        <v>47</v>
      </c>
      <c r="R343" s="8"/>
      <c r="S343" s="8"/>
      <c r="T343" s="8"/>
    </row>
    <row r="344" customFormat="false" ht="15" hidden="false" customHeight="false" outlineLevel="0" collapsed="false">
      <c r="A344" s="7" t="s">
        <v>598</v>
      </c>
      <c r="B344" s="8" t="s">
        <v>108</v>
      </c>
      <c r="C344" s="8" t="n">
        <v>106</v>
      </c>
      <c r="D344" s="8"/>
      <c r="E344" s="8"/>
      <c r="F344" s="8" t="str">
        <f aca="true">IF(E344="","",ROUND((TODAY()-E344)/7,1))</f>
        <v/>
      </c>
      <c r="G344" s="8" t="s">
        <v>38</v>
      </c>
      <c r="H344" s="8"/>
      <c r="I344" s="8"/>
      <c r="J344" s="8"/>
      <c r="K344" s="8" t="n">
        <v>4</v>
      </c>
      <c r="L344" s="10"/>
      <c r="M344" s="10"/>
      <c r="N344" s="10" t="s">
        <v>83</v>
      </c>
      <c r="O344" s="10"/>
      <c r="P344" s="8" t="str">
        <f aca="false">MID(IF(L344="","","; APP:"&amp;L344)&amp;IF(M344="","","; PS1:"&amp;M344)&amp;IF(N344="","","; AQP4:"&amp;N344)&amp;IF(O344="","","; CAG-EGFP:"&amp;O344),3,200)</f>
        <v>AQP4:-</v>
      </c>
      <c r="Q344" s="8" t="s">
        <v>47</v>
      </c>
      <c r="R344" s="8"/>
      <c r="S344" s="8"/>
      <c r="T344" s="8"/>
    </row>
    <row r="345" customFormat="false" ht="15" hidden="false" customHeight="false" outlineLevel="0" collapsed="false">
      <c r="A345" s="7" t="s">
        <v>599</v>
      </c>
      <c r="B345" s="8" t="s">
        <v>108</v>
      </c>
      <c r="C345" s="8" t="n">
        <v>107</v>
      </c>
      <c r="D345" s="8"/>
      <c r="E345" s="8"/>
      <c r="F345" s="8" t="str">
        <f aca="true">IF(E345="","",ROUND((TODAY()-E345)/7,1))</f>
        <v/>
      </c>
      <c r="G345" s="8" t="s">
        <v>38</v>
      </c>
      <c r="H345" s="8"/>
      <c r="I345" s="8"/>
      <c r="J345" s="8"/>
      <c r="K345" s="8" t="n">
        <v>4</v>
      </c>
      <c r="L345" s="10"/>
      <c r="M345" s="10"/>
      <c r="N345" s="10" t="s">
        <v>83</v>
      </c>
      <c r="O345" s="10"/>
      <c r="P345" s="8" t="str">
        <f aca="false">MID(IF(L345="","","; APP:"&amp;L345)&amp;IF(M345="","","; PS1:"&amp;M345)&amp;IF(N345="","","; AQP4:"&amp;N345)&amp;IF(O345="","","; CAG-EGFP:"&amp;O345),3,200)</f>
        <v>AQP4:-</v>
      </c>
      <c r="Q345" s="8" t="s">
        <v>47</v>
      </c>
      <c r="R345" s="8"/>
      <c r="S345" s="8"/>
      <c r="T345" s="8"/>
    </row>
    <row r="346" customFormat="false" ht="15" hidden="false" customHeight="false" outlineLevel="0" collapsed="false">
      <c r="A346" s="7" t="s">
        <v>600</v>
      </c>
      <c r="B346" s="8" t="s">
        <v>108</v>
      </c>
      <c r="C346" s="8" t="n">
        <v>108</v>
      </c>
      <c r="D346" s="8"/>
      <c r="E346" s="8"/>
      <c r="F346" s="8" t="str">
        <f aca="true">IF(E346="","",ROUND((TODAY()-E346)/7,1))</f>
        <v/>
      </c>
      <c r="G346" s="8" t="s">
        <v>38</v>
      </c>
      <c r="H346" s="8"/>
      <c r="I346" s="8"/>
      <c r="J346" s="8"/>
      <c r="K346" s="8" t="n">
        <v>4</v>
      </c>
      <c r="L346" s="10"/>
      <c r="M346" s="10"/>
      <c r="N346" s="10" t="s">
        <v>83</v>
      </c>
      <c r="O346" s="10"/>
      <c r="P346" s="8" t="str">
        <f aca="false">MID(IF(L346="","","; APP:"&amp;L346)&amp;IF(M346="","","; PS1:"&amp;M346)&amp;IF(N346="","","; AQP4:"&amp;N346)&amp;IF(O346="","","; CAG-EGFP:"&amp;O346),3,200)</f>
        <v>AQP4:-</v>
      </c>
      <c r="Q346" s="8" t="s">
        <v>47</v>
      </c>
      <c r="R346" s="8"/>
      <c r="S346" s="8"/>
      <c r="T346" s="8"/>
    </row>
    <row r="347" customFormat="false" ht="15" hidden="false" customHeight="false" outlineLevel="0" collapsed="false">
      <c r="A347" s="7" t="s">
        <v>601</v>
      </c>
      <c r="B347" s="8" t="s">
        <v>108</v>
      </c>
      <c r="C347" s="8" t="n">
        <v>109</v>
      </c>
      <c r="D347" s="8"/>
      <c r="E347" s="8"/>
      <c r="F347" s="8" t="str">
        <f aca="true">IF(E347="","",ROUND((TODAY()-E347)/7,1))</f>
        <v/>
      </c>
      <c r="G347" s="8" t="s">
        <v>38</v>
      </c>
      <c r="H347" s="8"/>
      <c r="I347" s="8"/>
      <c r="J347" s="8"/>
      <c r="K347" s="8" t="n">
        <v>4</v>
      </c>
      <c r="L347" s="10"/>
      <c r="M347" s="10"/>
      <c r="N347" s="10" t="s">
        <v>83</v>
      </c>
      <c r="O347" s="10"/>
      <c r="P347" s="8" t="str">
        <f aca="false">MID(IF(L347="","","; APP:"&amp;L347)&amp;IF(M347="","","; PS1:"&amp;M347)&amp;IF(N347="","","; AQP4:"&amp;N347)&amp;IF(O347="","","; CAG-EGFP:"&amp;O347),3,200)</f>
        <v>AQP4:-</v>
      </c>
      <c r="Q347" s="8" t="s">
        <v>47</v>
      </c>
      <c r="R347" s="8"/>
      <c r="S347" s="8"/>
      <c r="T347" s="8"/>
    </row>
    <row r="348" customFormat="false" ht="15" hidden="false" customHeight="false" outlineLevel="0" collapsed="false">
      <c r="A348" s="7" t="s">
        <v>602</v>
      </c>
      <c r="B348" s="8" t="s">
        <v>108</v>
      </c>
      <c r="C348" s="8" t="n">
        <v>110</v>
      </c>
      <c r="D348" s="8"/>
      <c r="E348" s="8"/>
      <c r="F348" s="8" t="str">
        <f aca="true">IF(E348="","",ROUND((TODAY()-E348)/7,1))</f>
        <v/>
      </c>
      <c r="G348" s="8" t="s">
        <v>38</v>
      </c>
      <c r="H348" s="8"/>
      <c r="I348" s="8"/>
      <c r="J348" s="8"/>
      <c r="K348" s="8" t="n">
        <v>4</v>
      </c>
      <c r="L348" s="10"/>
      <c r="M348" s="10"/>
      <c r="N348" s="10" t="s">
        <v>83</v>
      </c>
      <c r="O348" s="10"/>
      <c r="P348" s="8" t="str">
        <f aca="false">MID(IF(L348="","","; APP:"&amp;L348)&amp;IF(M348="","","; PS1:"&amp;M348)&amp;IF(N348="","","; AQP4:"&amp;N348)&amp;IF(O348="","","; CAG-EGFP:"&amp;O348),3,200)</f>
        <v>AQP4:-</v>
      </c>
      <c r="Q348" s="8" t="s">
        <v>47</v>
      </c>
      <c r="R348" s="8"/>
      <c r="S348" s="8"/>
      <c r="T348" s="8"/>
    </row>
    <row r="349" customFormat="false" ht="15" hidden="false" customHeight="false" outlineLevel="0" collapsed="false">
      <c r="A349" s="7" t="s">
        <v>603</v>
      </c>
      <c r="B349" s="8" t="s">
        <v>108</v>
      </c>
      <c r="C349" s="8" t="n">
        <v>111</v>
      </c>
      <c r="D349" s="8"/>
      <c r="E349" s="8"/>
      <c r="F349" s="8" t="str">
        <f aca="true">IF(E349="","",ROUND((TODAY()-E349)/7,1))</f>
        <v/>
      </c>
      <c r="G349" s="8" t="s">
        <v>38</v>
      </c>
      <c r="H349" s="8"/>
      <c r="I349" s="8"/>
      <c r="J349" s="8"/>
      <c r="K349" s="8" t="n">
        <v>4</v>
      </c>
      <c r="L349" s="10"/>
      <c r="M349" s="10"/>
      <c r="N349" s="10" t="s">
        <v>83</v>
      </c>
      <c r="O349" s="10"/>
      <c r="P349" s="8" t="str">
        <f aca="false">MID(IF(L349="","","; APP:"&amp;L349)&amp;IF(M349="","","; PS1:"&amp;M349)&amp;IF(N349="","","; AQP4:"&amp;N349)&amp;IF(O349="","","; CAG-EGFP:"&amp;O349),3,200)</f>
        <v>AQP4:-</v>
      </c>
      <c r="Q349" s="8" t="s">
        <v>47</v>
      </c>
      <c r="R349" s="8"/>
      <c r="S349" s="8"/>
      <c r="T349" s="8"/>
    </row>
    <row r="350" customFormat="false" ht="15" hidden="false" customHeight="false" outlineLevel="0" collapsed="false">
      <c r="A350" s="7" t="s">
        <v>604</v>
      </c>
      <c r="B350" s="8" t="s">
        <v>108</v>
      </c>
      <c r="C350" s="8" t="n">
        <v>112</v>
      </c>
      <c r="D350" s="8"/>
      <c r="E350" s="8"/>
      <c r="F350" s="8" t="str">
        <f aca="true">IF(E350="","",ROUND((TODAY()-E350)/7,1))</f>
        <v/>
      </c>
      <c r="G350" s="8" t="s">
        <v>38</v>
      </c>
      <c r="H350" s="8"/>
      <c r="I350" s="8"/>
      <c r="J350" s="8"/>
      <c r="K350" s="8" t="n">
        <v>4</v>
      </c>
      <c r="L350" s="10"/>
      <c r="M350" s="10"/>
      <c r="N350" s="10" t="s">
        <v>83</v>
      </c>
      <c r="O350" s="10"/>
      <c r="P350" s="8" t="str">
        <f aca="false">MID(IF(L350="","","; APP:"&amp;L350)&amp;IF(M350="","","; PS1:"&amp;M350)&amp;IF(N350="","","; AQP4:"&amp;N350)&amp;IF(O350="","","; CAG-EGFP:"&amp;O350),3,200)</f>
        <v>AQP4:-</v>
      </c>
      <c r="Q350" s="8" t="s">
        <v>47</v>
      </c>
      <c r="R350" s="8"/>
      <c r="S350" s="8"/>
      <c r="T350" s="8"/>
    </row>
    <row r="351" customFormat="false" ht="15" hidden="false" customHeight="false" outlineLevel="0" collapsed="false">
      <c r="A351" s="7" t="s">
        <v>605</v>
      </c>
      <c r="B351" s="8" t="s">
        <v>108</v>
      </c>
      <c r="C351" s="8" t="n">
        <v>113</v>
      </c>
      <c r="D351" s="8"/>
      <c r="E351" s="8"/>
      <c r="F351" s="8" t="str">
        <f aca="true">IF(E351="","",ROUND((TODAY()-E351)/7,1))</f>
        <v/>
      </c>
      <c r="G351" s="8" t="s">
        <v>38</v>
      </c>
      <c r="H351" s="8"/>
      <c r="I351" s="8"/>
      <c r="J351" s="8"/>
      <c r="K351" s="8" t="n">
        <v>4</v>
      </c>
      <c r="L351" s="10"/>
      <c r="M351" s="10"/>
      <c r="N351" s="10" t="s">
        <v>83</v>
      </c>
      <c r="O351" s="10"/>
      <c r="P351" s="8" t="str">
        <f aca="false">MID(IF(L351="","","; APP:"&amp;L351)&amp;IF(M351="","","; PS1:"&amp;M351)&amp;IF(N351="","","; AQP4:"&amp;N351)&amp;IF(O351="","","; CAG-EGFP:"&amp;O351),3,200)</f>
        <v>AQP4:-</v>
      </c>
      <c r="Q351" s="8" t="s">
        <v>47</v>
      </c>
      <c r="R351" s="8"/>
      <c r="S351" s="8"/>
      <c r="T351" s="8"/>
    </row>
    <row r="352" customFormat="false" ht="15" hidden="false" customHeight="false" outlineLevel="0" collapsed="false">
      <c r="A352" s="7" t="s">
        <v>606</v>
      </c>
      <c r="B352" s="8" t="s">
        <v>108</v>
      </c>
      <c r="C352" s="8" t="n">
        <v>114</v>
      </c>
      <c r="D352" s="8"/>
      <c r="E352" s="8"/>
      <c r="F352" s="8" t="str">
        <f aca="true">IF(E352="","",ROUND((TODAY()-E352)/7,1))</f>
        <v/>
      </c>
      <c r="G352" s="8" t="s">
        <v>38</v>
      </c>
      <c r="H352" s="8"/>
      <c r="I352" s="8"/>
      <c r="J352" s="8"/>
      <c r="K352" s="8" t="n">
        <v>4</v>
      </c>
      <c r="L352" s="10"/>
      <c r="M352" s="10"/>
      <c r="N352" s="10" t="s">
        <v>83</v>
      </c>
      <c r="O352" s="10"/>
      <c r="P352" s="8" t="str">
        <f aca="false">MID(IF(L352="","","; APP:"&amp;L352)&amp;IF(M352="","","; PS1:"&amp;M352)&amp;IF(N352="","","; AQP4:"&amp;N352)&amp;IF(O352="","","; CAG-EGFP:"&amp;O352),3,200)</f>
        <v>AQP4:-</v>
      </c>
      <c r="Q352" s="8" t="s">
        <v>47</v>
      </c>
      <c r="R352" s="8"/>
      <c r="S352" s="8"/>
      <c r="T352" s="8"/>
    </row>
    <row r="353" customFormat="false" ht="15" hidden="false" customHeight="false" outlineLevel="0" collapsed="false">
      <c r="A353" s="7" t="s">
        <v>607</v>
      </c>
      <c r="B353" s="8" t="s">
        <v>108</v>
      </c>
      <c r="C353" s="8" t="n">
        <v>115</v>
      </c>
      <c r="D353" s="8"/>
      <c r="E353" s="8"/>
      <c r="F353" s="8" t="str">
        <f aca="true">IF(E353="","",ROUND((TODAY()-E353)/7,1))</f>
        <v/>
      </c>
      <c r="G353" s="8" t="s">
        <v>38</v>
      </c>
      <c r="H353" s="8"/>
      <c r="I353" s="8"/>
      <c r="J353" s="8"/>
      <c r="K353" s="8" t="n">
        <v>4</v>
      </c>
      <c r="L353" s="10"/>
      <c r="M353" s="10"/>
      <c r="N353" s="10" t="s">
        <v>83</v>
      </c>
      <c r="O353" s="10"/>
      <c r="P353" s="8" t="str">
        <f aca="false">MID(IF(L353="","","; APP:"&amp;L353)&amp;IF(M353="","","; PS1:"&amp;M353)&amp;IF(N353="","","; AQP4:"&amp;N353)&amp;IF(O353="","","; CAG-EGFP:"&amp;O353),3,200)</f>
        <v>AQP4:-</v>
      </c>
      <c r="Q353" s="8" t="s">
        <v>47</v>
      </c>
      <c r="R353" s="8"/>
      <c r="S353" s="8"/>
      <c r="T353" s="8"/>
    </row>
    <row r="354" customFormat="false" ht="15" hidden="false" customHeight="false" outlineLevel="0" collapsed="false">
      <c r="A354" s="7" t="s">
        <v>608</v>
      </c>
      <c r="B354" s="8" t="s">
        <v>108</v>
      </c>
      <c r="C354" s="8" t="n">
        <v>116</v>
      </c>
      <c r="D354" s="8"/>
      <c r="E354" s="8"/>
      <c r="F354" s="8" t="str">
        <f aca="true">IF(E354="","",ROUND((TODAY()-E354)/7,1))</f>
        <v/>
      </c>
      <c r="G354" s="8" t="s">
        <v>38</v>
      </c>
      <c r="H354" s="8"/>
      <c r="I354" s="8"/>
      <c r="J354" s="8"/>
      <c r="K354" s="8" t="n">
        <v>4</v>
      </c>
      <c r="L354" s="10"/>
      <c r="M354" s="10"/>
      <c r="N354" s="10" t="s">
        <v>83</v>
      </c>
      <c r="O354" s="10"/>
      <c r="P354" s="8" t="str">
        <f aca="false">MID(IF(L354="","","; APP:"&amp;L354)&amp;IF(M354="","","; PS1:"&amp;M354)&amp;IF(N354="","","; AQP4:"&amp;N354)&amp;IF(O354="","","; CAG-EGFP:"&amp;O354),3,200)</f>
        <v>AQP4:-</v>
      </c>
      <c r="Q354" s="8" t="s">
        <v>47</v>
      </c>
      <c r="R354" s="8"/>
      <c r="S354" s="8"/>
      <c r="T354" s="8"/>
    </row>
    <row r="355" customFormat="false" ht="15" hidden="false" customHeight="false" outlineLevel="0" collapsed="false">
      <c r="A355" s="7" t="s">
        <v>609</v>
      </c>
      <c r="B355" s="8" t="s">
        <v>108</v>
      </c>
      <c r="C355" s="8" t="n">
        <v>117</v>
      </c>
      <c r="D355" s="8"/>
      <c r="E355" s="8"/>
      <c r="F355" s="8" t="str">
        <f aca="true">IF(E355="","",ROUND((TODAY()-E355)/7,1))</f>
        <v/>
      </c>
      <c r="G355" s="8" t="s">
        <v>38</v>
      </c>
      <c r="H355" s="8"/>
      <c r="I355" s="8"/>
      <c r="J355" s="8"/>
      <c r="K355" s="8" t="n">
        <v>4</v>
      </c>
      <c r="L355" s="10"/>
      <c r="M355" s="10"/>
      <c r="N355" s="10" t="s">
        <v>83</v>
      </c>
      <c r="O355" s="10"/>
      <c r="P355" s="8" t="str">
        <f aca="false">MID(IF(L355="","","; APP:"&amp;L355)&amp;IF(M355="","","; PS1:"&amp;M355)&amp;IF(N355="","","; AQP4:"&amp;N355)&amp;IF(O355="","","; CAG-EGFP:"&amp;O355),3,200)</f>
        <v>AQP4:-</v>
      </c>
      <c r="Q355" s="8" t="s">
        <v>47</v>
      </c>
      <c r="R355" s="8"/>
      <c r="S355" s="8"/>
      <c r="T355" s="8"/>
    </row>
    <row r="356" customFormat="false" ht="15" hidden="false" customHeight="false" outlineLevel="0" collapsed="false">
      <c r="A356" s="7" t="s">
        <v>610</v>
      </c>
      <c r="B356" s="8" t="s">
        <v>108</v>
      </c>
      <c r="C356" s="8" t="n">
        <v>118</v>
      </c>
      <c r="D356" s="8"/>
      <c r="E356" s="8"/>
      <c r="F356" s="8" t="str">
        <f aca="true">IF(E356="","",ROUND((TODAY()-E356)/7,1))</f>
        <v/>
      </c>
      <c r="G356" s="8" t="s">
        <v>38</v>
      </c>
      <c r="H356" s="8"/>
      <c r="I356" s="8"/>
      <c r="J356" s="8"/>
      <c r="K356" s="8" t="n">
        <v>4</v>
      </c>
      <c r="L356" s="10"/>
      <c r="M356" s="10"/>
      <c r="N356" s="10" t="s">
        <v>83</v>
      </c>
      <c r="O356" s="10"/>
      <c r="P356" s="8" t="str">
        <f aca="false">MID(IF(L356="","","; APP:"&amp;L356)&amp;IF(M356="","","; PS1:"&amp;M356)&amp;IF(N356="","","; AQP4:"&amp;N356)&amp;IF(O356="","","; CAG-EGFP:"&amp;O356),3,200)</f>
        <v>AQP4:-</v>
      </c>
      <c r="Q356" s="8" t="s">
        <v>47</v>
      </c>
      <c r="R356" s="8"/>
      <c r="S356" s="8"/>
      <c r="T356" s="8"/>
    </row>
    <row r="357" customFormat="false" ht="15" hidden="false" customHeight="false" outlineLevel="0" collapsed="false">
      <c r="A357" s="7" t="s">
        <v>611</v>
      </c>
      <c r="B357" s="8" t="s">
        <v>108</v>
      </c>
      <c r="C357" s="8" t="n">
        <v>119</v>
      </c>
      <c r="D357" s="8"/>
      <c r="E357" s="8"/>
      <c r="F357" s="8" t="str">
        <f aca="true">IF(E357="","",ROUND((TODAY()-E357)/7,1))</f>
        <v/>
      </c>
      <c r="G357" s="8" t="s">
        <v>38</v>
      </c>
      <c r="H357" s="8"/>
      <c r="I357" s="8"/>
      <c r="J357" s="8"/>
      <c r="K357" s="8" t="n">
        <v>4</v>
      </c>
      <c r="L357" s="10"/>
      <c r="M357" s="10"/>
      <c r="N357" s="10" t="s">
        <v>83</v>
      </c>
      <c r="O357" s="10"/>
      <c r="P357" s="8" t="str">
        <f aca="false">MID(IF(L357="","","; APP:"&amp;L357)&amp;IF(M357="","","; PS1:"&amp;M357)&amp;IF(N357="","","; AQP4:"&amp;N357)&amp;IF(O357="","","; CAG-EGFP:"&amp;O357),3,200)</f>
        <v>AQP4:-</v>
      </c>
      <c r="Q357" s="8" t="s">
        <v>47</v>
      </c>
      <c r="R357" s="8"/>
      <c r="S357" s="8"/>
      <c r="T357" s="8"/>
    </row>
    <row r="358" customFormat="false" ht="15" hidden="false" customHeight="false" outlineLevel="0" collapsed="false">
      <c r="A358" s="7" t="s">
        <v>612</v>
      </c>
      <c r="B358" s="8" t="s">
        <v>108</v>
      </c>
      <c r="C358" s="8" t="n">
        <v>120</v>
      </c>
      <c r="D358" s="8"/>
      <c r="E358" s="8"/>
      <c r="F358" s="8" t="str">
        <f aca="true">IF(E358="","",ROUND((TODAY()-E358)/7,1))</f>
        <v/>
      </c>
      <c r="G358" s="8" t="s">
        <v>38</v>
      </c>
      <c r="H358" s="8"/>
      <c r="I358" s="8"/>
      <c r="J358" s="8"/>
      <c r="K358" s="8" t="n">
        <v>4</v>
      </c>
      <c r="L358" s="10"/>
      <c r="M358" s="10"/>
      <c r="N358" s="10" t="s">
        <v>83</v>
      </c>
      <c r="O358" s="10"/>
      <c r="P358" s="8" t="str">
        <f aca="false">MID(IF(L358="","","; APP:"&amp;L358)&amp;IF(M358="","","; PS1:"&amp;M358)&amp;IF(N358="","","; AQP4:"&amp;N358)&amp;IF(O358="","","; CAG-EGFP:"&amp;O358),3,200)</f>
        <v>AQP4:-</v>
      </c>
      <c r="Q358" s="8" t="s">
        <v>47</v>
      </c>
      <c r="R358" s="8"/>
      <c r="S358" s="8"/>
      <c r="T358" s="8"/>
    </row>
    <row r="359" customFormat="false" ht="15" hidden="false" customHeight="false" outlineLevel="0" collapsed="false">
      <c r="A359" s="7" t="s">
        <v>613</v>
      </c>
      <c r="B359" s="8" t="s">
        <v>108</v>
      </c>
      <c r="C359" s="8" t="n">
        <v>121</v>
      </c>
      <c r="D359" s="8"/>
      <c r="E359" s="8"/>
      <c r="F359" s="8" t="str">
        <f aca="true">IF(E359="","",ROUND((TODAY()-E359)/7,1))</f>
        <v/>
      </c>
      <c r="G359" s="8" t="s">
        <v>38</v>
      </c>
      <c r="H359" s="8"/>
      <c r="I359" s="8"/>
      <c r="J359" s="8"/>
      <c r="K359" s="8" t="n">
        <v>4</v>
      </c>
      <c r="L359" s="10"/>
      <c r="M359" s="10"/>
      <c r="N359" s="10" t="s">
        <v>83</v>
      </c>
      <c r="O359" s="10"/>
      <c r="P359" s="8" t="str">
        <f aca="false">MID(IF(L359="","","; APP:"&amp;L359)&amp;IF(M359="","","; PS1:"&amp;M359)&amp;IF(N359="","","; AQP4:"&amp;N359)&amp;IF(O359="","","; CAG-EGFP:"&amp;O359),3,200)</f>
        <v>AQP4:-</v>
      </c>
      <c r="Q359" s="8" t="s">
        <v>47</v>
      </c>
      <c r="R359" s="8"/>
      <c r="S359" s="8"/>
      <c r="T359" s="8"/>
    </row>
    <row r="360" customFormat="false" ht="15" hidden="false" customHeight="false" outlineLevel="0" collapsed="false">
      <c r="A360" s="7" t="s">
        <v>614</v>
      </c>
      <c r="B360" s="8" t="s">
        <v>114</v>
      </c>
      <c r="C360" s="8" t="n">
        <v>105</v>
      </c>
      <c r="D360" s="8" t="s">
        <v>33</v>
      </c>
      <c r="E360" s="9" t="n">
        <v>45708</v>
      </c>
      <c r="F360" s="8" t="n">
        <f aca="true">IF(E360="","",ROUND((TODAY()-E360)/7,1))</f>
        <v>68.4</v>
      </c>
      <c r="G360" s="8" t="s">
        <v>38</v>
      </c>
      <c r="H360" s="8"/>
      <c r="I360" s="8" t="s">
        <v>615</v>
      </c>
      <c r="J360" s="8" t="s">
        <v>616</v>
      </c>
      <c r="K360" s="8" t="n">
        <v>4</v>
      </c>
      <c r="L360" s="10"/>
      <c r="M360" s="10"/>
      <c r="N360" s="10"/>
      <c r="O360" s="10" t="s">
        <v>73</v>
      </c>
      <c r="P360" s="8" t="str">
        <f aca="false">MID(IF(L360="","","; APP:"&amp;L360)&amp;IF(M360="","","; PS1:"&amp;M360)&amp;IF(N360="","","; AQP4:"&amp;N360)&amp;IF(O360="","","; CAG-EGFP:"&amp;O360),3,200)</f>
        <v>CAG-EGFP:+</v>
      </c>
      <c r="Q360" s="8" t="s">
        <v>47</v>
      </c>
      <c r="R360" s="8" t="s">
        <v>88</v>
      </c>
      <c r="S360" s="8"/>
      <c r="T360" s="8" t="s">
        <v>151</v>
      </c>
    </row>
    <row r="361" customFormat="false" ht="15" hidden="false" customHeight="false" outlineLevel="0" collapsed="false">
      <c r="A361" s="7" t="s">
        <v>617</v>
      </c>
      <c r="B361" s="8" t="s">
        <v>114</v>
      </c>
      <c r="C361" s="8" t="n">
        <v>106</v>
      </c>
      <c r="D361" s="8" t="s">
        <v>33</v>
      </c>
      <c r="E361" s="9" t="n">
        <v>45708</v>
      </c>
      <c r="F361" s="8" t="n">
        <f aca="true">IF(E361="","",ROUND((TODAY()-E361)/7,1))</f>
        <v>68.4</v>
      </c>
      <c r="G361" s="8" t="s">
        <v>38</v>
      </c>
      <c r="H361" s="8"/>
      <c r="I361" s="8" t="s">
        <v>615</v>
      </c>
      <c r="J361" s="8" t="s">
        <v>616</v>
      </c>
      <c r="K361" s="8" t="n">
        <v>4</v>
      </c>
      <c r="L361" s="10"/>
      <c r="M361" s="10"/>
      <c r="N361" s="10"/>
      <c r="O361" s="10" t="s">
        <v>73</v>
      </c>
      <c r="P361" s="8" t="str">
        <f aca="false">MID(IF(L361="","","; APP:"&amp;L361)&amp;IF(M361="","","; PS1:"&amp;M361)&amp;IF(N361="","","; AQP4:"&amp;N361)&amp;IF(O361="","","; CAG-EGFP:"&amp;O361),3,200)</f>
        <v>CAG-EGFP:+</v>
      </c>
      <c r="Q361" s="8" t="s">
        <v>47</v>
      </c>
      <c r="R361" s="8" t="s">
        <v>88</v>
      </c>
      <c r="S361" s="8"/>
      <c r="T361" s="8" t="s">
        <v>151</v>
      </c>
    </row>
    <row r="362" customFormat="false" ht="15" hidden="false" customHeight="false" outlineLevel="0" collapsed="false">
      <c r="A362" s="7" t="s">
        <v>618</v>
      </c>
      <c r="B362" s="8" t="s">
        <v>114</v>
      </c>
      <c r="C362" s="8" t="n">
        <v>107</v>
      </c>
      <c r="D362" s="8" t="s">
        <v>33</v>
      </c>
      <c r="E362" s="9" t="n">
        <v>45708</v>
      </c>
      <c r="F362" s="8" t="n">
        <f aca="true">IF(E362="","",ROUND((TODAY()-E362)/7,1))</f>
        <v>68.4</v>
      </c>
      <c r="G362" s="8" t="s">
        <v>38</v>
      </c>
      <c r="H362" s="8"/>
      <c r="I362" s="8" t="s">
        <v>615</v>
      </c>
      <c r="J362" s="8" t="s">
        <v>616</v>
      </c>
      <c r="K362" s="8" t="n">
        <v>4</v>
      </c>
      <c r="L362" s="10"/>
      <c r="M362" s="10"/>
      <c r="N362" s="10"/>
      <c r="O362" s="10" t="s">
        <v>73</v>
      </c>
      <c r="P362" s="8" t="str">
        <f aca="false">MID(IF(L362="","","; APP:"&amp;L362)&amp;IF(M362="","","; PS1:"&amp;M362)&amp;IF(N362="","","; AQP4:"&amp;N362)&amp;IF(O362="","","; CAG-EGFP:"&amp;O362),3,200)</f>
        <v>CAG-EGFP:+</v>
      </c>
      <c r="Q362" s="8" t="s">
        <v>47</v>
      </c>
      <c r="R362" s="8" t="s">
        <v>88</v>
      </c>
      <c r="S362" s="8"/>
      <c r="T362" s="8" t="s">
        <v>151</v>
      </c>
    </row>
    <row r="363" customFormat="false" ht="15" hidden="false" customHeight="false" outlineLevel="0" collapsed="false">
      <c r="A363" s="7" t="s">
        <v>619</v>
      </c>
      <c r="B363" s="8" t="s">
        <v>114</v>
      </c>
      <c r="C363" s="8" t="n">
        <v>108</v>
      </c>
      <c r="D363" s="8" t="s">
        <v>33</v>
      </c>
      <c r="E363" s="9" t="n">
        <v>45708</v>
      </c>
      <c r="F363" s="8" t="n">
        <f aca="true">IF(E363="","",ROUND((TODAY()-E363)/7,1))</f>
        <v>68.4</v>
      </c>
      <c r="G363" s="8" t="s">
        <v>38</v>
      </c>
      <c r="H363" s="8"/>
      <c r="I363" s="8" t="s">
        <v>615</v>
      </c>
      <c r="J363" s="8" t="s">
        <v>616</v>
      </c>
      <c r="K363" s="8" t="n">
        <v>4</v>
      </c>
      <c r="L363" s="10"/>
      <c r="M363" s="10"/>
      <c r="N363" s="10"/>
      <c r="O363" s="10" t="s">
        <v>73</v>
      </c>
      <c r="P363" s="8" t="str">
        <f aca="false">MID(IF(L363="","","; APP:"&amp;L363)&amp;IF(M363="","","; PS1:"&amp;M363)&amp;IF(N363="","","; AQP4:"&amp;N363)&amp;IF(O363="","","; CAG-EGFP:"&amp;O363),3,200)</f>
        <v>CAG-EGFP:+</v>
      </c>
      <c r="Q363" s="8" t="s">
        <v>47</v>
      </c>
      <c r="R363" s="8" t="s">
        <v>88</v>
      </c>
      <c r="S363" s="8"/>
      <c r="T363" s="8" t="s">
        <v>151</v>
      </c>
    </row>
    <row r="364" customFormat="false" ht="15" hidden="false" customHeight="false" outlineLevel="0" collapsed="false">
      <c r="A364" s="7" t="s">
        <v>620</v>
      </c>
      <c r="B364" s="8" t="s">
        <v>114</v>
      </c>
      <c r="C364" s="8" t="n">
        <v>109</v>
      </c>
      <c r="D364" s="8" t="s">
        <v>33</v>
      </c>
      <c r="E364" s="9" t="n">
        <v>45708</v>
      </c>
      <c r="F364" s="8" t="n">
        <f aca="true">IF(E364="","",ROUND((TODAY()-E364)/7,1))</f>
        <v>68.4</v>
      </c>
      <c r="G364" s="8" t="s">
        <v>38</v>
      </c>
      <c r="H364" s="8"/>
      <c r="I364" s="8" t="s">
        <v>615</v>
      </c>
      <c r="J364" s="8" t="s">
        <v>616</v>
      </c>
      <c r="K364" s="8" t="n">
        <v>4</v>
      </c>
      <c r="L364" s="10"/>
      <c r="M364" s="10"/>
      <c r="N364" s="10"/>
      <c r="O364" s="10" t="s">
        <v>73</v>
      </c>
      <c r="P364" s="8" t="str">
        <f aca="false">MID(IF(L364="","","; APP:"&amp;L364)&amp;IF(M364="","","; PS1:"&amp;M364)&amp;IF(N364="","","; AQP4:"&amp;N364)&amp;IF(O364="","","; CAG-EGFP:"&amp;O364),3,200)</f>
        <v>CAG-EGFP:+</v>
      </c>
      <c r="Q364" s="8" t="s">
        <v>47</v>
      </c>
      <c r="R364" s="8" t="s">
        <v>88</v>
      </c>
      <c r="S364" s="8"/>
      <c r="T364" s="8" t="s">
        <v>151</v>
      </c>
    </row>
    <row r="365" customFormat="false" ht="15" hidden="false" customHeight="false" outlineLevel="0" collapsed="false">
      <c r="A365" s="7" t="s">
        <v>621</v>
      </c>
      <c r="B365" s="8" t="s">
        <v>114</v>
      </c>
      <c r="C365" s="8" t="n">
        <v>110</v>
      </c>
      <c r="D365" s="8" t="s">
        <v>46</v>
      </c>
      <c r="E365" s="9" t="n">
        <v>45708</v>
      </c>
      <c r="F365" s="8" t="n">
        <f aca="true">IF(E365="","",ROUND((TODAY()-E365)/7,1))</f>
        <v>68.4</v>
      </c>
      <c r="G365" s="8" t="s">
        <v>38</v>
      </c>
      <c r="H365" s="8"/>
      <c r="I365" s="8" t="s">
        <v>615</v>
      </c>
      <c r="J365" s="8" t="s">
        <v>616</v>
      </c>
      <c r="K365" s="8" t="n">
        <v>4</v>
      </c>
      <c r="L365" s="10"/>
      <c r="M365" s="10"/>
      <c r="N365" s="10"/>
      <c r="O365" s="10" t="s">
        <v>73</v>
      </c>
      <c r="P365" s="8" t="str">
        <f aca="false">MID(IF(L365="","","; APP:"&amp;L365)&amp;IF(M365="","","; PS1:"&amp;M365)&amp;IF(N365="","","; AQP4:"&amp;N365)&amp;IF(O365="","","; CAG-EGFP:"&amp;O365),3,200)</f>
        <v>CAG-EGFP:+</v>
      </c>
      <c r="Q365" s="8" t="s">
        <v>47</v>
      </c>
      <c r="R365" s="8" t="s">
        <v>88</v>
      </c>
      <c r="S365" s="8"/>
      <c r="T365" s="8" t="s">
        <v>151</v>
      </c>
    </row>
    <row r="366" customFormat="false" ht="15" hidden="false" customHeight="false" outlineLevel="0" collapsed="false">
      <c r="A366" s="7" t="s">
        <v>622</v>
      </c>
      <c r="B366" s="8" t="s">
        <v>114</v>
      </c>
      <c r="C366" s="8" t="n">
        <v>111</v>
      </c>
      <c r="D366" s="8" t="s">
        <v>33</v>
      </c>
      <c r="E366" s="9" t="n">
        <v>45737</v>
      </c>
      <c r="F366" s="8" t="n">
        <f aca="true">IF(E366="","",ROUND((TODAY()-E366)/7,1))</f>
        <v>64.3</v>
      </c>
      <c r="G366" s="8" t="s">
        <v>38</v>
      </c>
      <c r="H366" s="8"/>
      <c r="I366" s="8" t="s">
        <v>615</v>
      </c>
      <c r="J366" s="8" t="s">
        <v>616</v>
      </c>
      <c r="K366" s="8" t="n">
        <v>4</v>
      </c>
      <c r="L366" s="10"/>
      <c r="M366" s="10"/>
      <c r="N366" s="10"/>
      <c r="O366" s="10" t="s">
        <v>73</v>
      </c>
      <c r="P366" s="8" t="str">
        <f aca="false">MID(IF(L366="","","; APP:"&amp;L366)&amp;IF(M366="","","; PS1:"&amp;M366)&amp;IF(N366="","","; AQP4:"&amp;N366)&amp;IF(O366="","","; CAG-EGFP:"&amp;O366),3,200)</f>
        <v>CAG-EGFP:+</v>
      </c>
      <c r="Q366" s="8" t="s">
        <v>47</v>
      </c>
      <c r="R366" s="8" t="s">
        <v>88</v>
      </c>
      <c r="S366" s="8"/>
      <c r="T366" s="8" t="s">
        <v>151</v>
      </c>
    </row>
    <row r="367" customFormat="false" ht="17.15" hidden="false" customHeight="false" outlineLevel="0" collapsed="false">
      <c r="A367" s="7" t="s">
        <v>623</v>
      </c>
      <c r="B367" s="8" t="s">
        <v>114</v>
      </c>
      <c r="C367" s="8" t="n">
        <v>112</v>
      </c>
      <c r="D367" s="8" t="s">
        <v>46</v>
      </c>
      <c r="E367" s="9" t="n">
        <v>45737</v>
      </c>
      <c r="F367" s="8" t="n">
        <f aca="true">IF(E367="","",ROUND((TODAY()-E367)/7,1))</f>
        <v>64.3</v>
      </c>
      <c r="G367" s="8" t="s">
        <v>38</v>
      </c>
      <c r="H367" s="8"/>
      <c r="I367" s="8" t="s">
        <v>615</v>
      </c>
      <c r="J367" s="8" t="s">
        <v>616</v>
      </c>
      <c r="K367" s="8" t="n">
        <v>4</v>
      </c>
      <c r="L367" s="10"/>
      <c r="M367" s="10"/>
      <c r="N367" s="10"/>
      <c r="O367" s="10" t="s">
        <v>73</v>
      </c>
      <c r="P367" s="8" t="str">
        <f aca="false">MID(IF(L367="","","; APP:"&amp;L367)&amp;IF(M367="","","; PS1:"&amp;M367)&amp;IF(N367="","","; AQP4:"&amp;N367)&amp;IF(O367="","","; CAG-EGFP:"&amp;O367),3,200)</f>
        <v>CAG-EGFP:+</v>
      </c>
      <c r="Q367" s="8" t="s">
        <v>47</v>
      </c>
      <c r="R367" s="8" t="s">
        <v>88</v>
      </c>
      <c r="S367" s="8"/>
      <c r="T367" s="8" t="s">
        <v>217</v>
      </c>
    </row>
    <row r="368" customFormat="false" ht="15" hidden="false" customHeight="false" outlineLevel="0" collapsed="false">
      <c r="A368" s="7" t="s">
        <v>624</v>
      </c>
      <c r="B368" s="8" t="s">
        <v>114</v>
      </c>
      <c r="C368" s="8" t="n">
        <v>113</v>
      </c>
      <c r="D368" s="8" t="s">
        <v>46</v>
      </c>
      <c r="E368" s="9" t="n">
        <v>45737</v>
      </c>
      <c r="F368" s="8" t="n">
        <f aca="true">IF(E368="","",ROUND((TODAY()-E368)/7,1))</f>
        <v>64.3</v>
      </c>
      <c r="G368" s="8" t="s">
        <v>38</v>
      </c>
      <c r="H368" s="8"/>
      <c r="I368" s="8" t="s">
        <v>615</v>
      </c>
      <c r="J368" s="8" t="s">
        <v>616</v>
      </c>
      <c r="K368" s="8" t="n">
        <v>4</v>
      </c>
      <c r="L368" s="10"/>
      <c r="M368" s="10"/>
      <c r="N368" s="10"/>
      <c r="O368" s="10" t="s">
        <v>73</v>
      </c>
      <c r="P368" s="8" t="str">
        <f aca="false">MID(IF(L368="","","; APP:"&amp;L368)&amp;IF(M368="","","; PS1:"&amp;M368)&amp;IF(N368="","","; AQP4:"&amp;N368)&amp;IF(O368="","","; CAG-EGFP:"&amp;O368),3,200)</f>
        <v>CAG-EGFP:+</v>
      </c>
      <c r="Q368" s="8" t="s">
        <v>47</v>
      </c>
      <c r="R368" s="8" t="s">
        <v>88</v>
      </c>
      <c r="S368" s="8"/>
      <c r="T368" s="8"/>
    </row>
    <row r="369" customFormat="false" ht="17.15" hidden="false" customHeight="false" outlineLevel="0" collapsed="false">
      <c r="A369" s="7" t="s">
        <v>625</v>
      </c>
      <c r="B369" s="8" t="s">
        <v>114</v>
      </c>
      <c r="C369" s="8" t="n">
        <v>114</v>
      </c>
      <c r="D369" s="8" t="s">
        <v>33</v>
      </c>
      <c r="E369" s="9" t="n">
        <v>45848</v>
      </c>
      <c r="F369" s="8" t="n">
        <f aca="true">IF(E369="","",ROUND((TODAY()-E369)/7,1))</f>
        <v>48.4</v>
      </c>
      <c r="G369" s="8" t="s">
        <v>52</v>
      </c>
      <c r="H369" s="8"/>
      <c r="I369" s="8" t="s">
        <v>626</v>
      </c>
      <c r="J369" s="8" t="s">
        <v>626</v>
      </c>
      <c r="K369" s="8" t="n">
        <v>1</v>
      </c>
      <c r="L369" s="10"/>
      <c r="M369" s="10"/>
      <c r="N369" s="10"/>
      <c r="O369" s="10" t="s">
        <v>73</v>
      </c>
      <c r="P369" s="8" t="str">
        <f aca="false">MID(IF(L369="","","; APP:"&amp;L369)&amp;IF(M369="","","; PS1:"&amp;M369)&amp;IF(N369="","","; AQP4:"&amp;N369)&amp;IF(O369="","","; CAG-EGFP:"&amp;O369),3,200)</f>
        <v>CAG-EGFP:+</v>
      </c>
      <c r="Q369" s="8" t="s">
        <v>47</v>
      </c>
      <c r="R369" s="8" t="s">
        <v>88</v>
      </c>
      <c r="S369" s="8"/>
      <c r="T369" s="8" t="s">
        <v>627</v>
      </c>
    </row>
    <row r="370" customFormat="false" ht="17.15" hidden="false" customHeight="false" outlineLevel="0" collapsed="false">
      <c r="A370" s="7" t="s">
        <v>628</v>
      </c>
      <c r="B370" s="8" t="s">
        <v>114</v>
      </c>
      <c r="C370" s="8" t="n">
        <v>115</v>
      </c>
      <c r="D370" s="8" t="s">
        <v>33</v>
      </c>
      <c r="E370" s="9" t="n">
        <v>45848</v>
      </c>
      <c r="F370" s="8" t="n">
        <f aca="true">IF(E370="","",ROUND((TODAY()-E370)/7,1))</f>
        <v>48.4</v>
      </c>
      <c r="G370" s="8" t="s">
        <v>52</v>
      </c>
      <c r="H370" s="8"/>
      <c r="I370" s="8" t="s">
        <v>626</v>
      </c>
      <c r="J370" s="8" t="s">
        <v>626</v>
      </c>
      <c r="K370" s="8" t="n">
        <v>1</v>
      </c>
      <c r="L370" s="10"/>
      <c r="M370" s="10"/>
      <c r="N370" s="10"/>
      <c r="O370" s="10" t="s">
        <v>73</v>
      </c>
      <c r="P370" s="8" t="str">
        <f aca="false">MID(IF(L370="","","; APP:"&amp;L370)&amp;IF(M370="","","; PS1:"&amp;M370)&amp;IF(N370="","","; AQP4:"&amp;N370)&amp;IF(O370="","","; CAG-EGFP:"&amp;O370),3,200)</f>
        <v>CAG-EGFP:+</v>
      </c>
      <c r="Q370" s="8" t="s">
        <v>47</v>
      </c>
      <c r="R370" s="8" t="s">
        <v>88</v>
      </c>
      <c r="S370" s="8"/>
      <c r="T370" s="8" t="s">
        <v>629</v>
      </c>
    </row>
    <row r="371" customFormat="false" ht="17.15" hidden="false" customHeight="false" outlineLevel="0" collapsed="false">
      <c r="A371" s="7" t="s">
        <v>630</v>
      </c>
      <c r="B371" s="8" t="s">
        <v>114</v>
      </c>
      <c r="C371" s="8" t="n">
        <v>116</v>
      </c>
      <c r="D371" s="8" t="s">
        <v>46</v>
      </c>
      <c r="E371" s="9" t="n">
        <v>45847</v>
      </c>
      <c r="F371" s="8" t="n">
        <f aca="true">IF(E371="","",ROUND((TODAY()-E371)/7,1))</f>
        <v>48.6</v>
      </c>
      <c r="G371" s="8" t="s">
        <v>52</v>
      </c>
      <c r="H371" s="8"/>
      <c r="I371" s="8" t="s">
        <v>626</v>
      </c>
      <c r="J371" s="8" t="s">
        <v>626</v>
      </c>
      <c r="K371" s="8" t="n">
        <v>1</v>
      </c>
      <c r="L371" s="10"/>
      <c r="M371" s="10"/>
      <c r="N371" s="10"/>
      <c r="O371" s="10" t="s">
        <v>73</v>
      </c>
      <c r="P371" s="8" t="str">
        <f aca="false">MID(IF(L371="","","; APP:"&amp;L371)&amp;IF(M371="","","; PS1:"&amp;M371)&amp;IF(N371="","","; AQP4:"&amp;N371)&amp;IF(O371="","","; CAG-EGFP:"&amp;O371),3,200)</f>
        <v>CAG-EGFP:+</v>
      </c>
      <c r="Q371" s="8" t="s">
        <v>47</v>
      </c>
      <c r="R371" s="8" t="s">
        <v>88</v>
      </c>
      <c r="S371" s="8"/>
      <c r="T371" s="8" t="s">
        <v>631</v>
      </c>
    </row>
    <row r="372" customFormat="false" ht="17.15" hidden="false" customHeight="false" outlineLevel="0" collapsed="false">
      <c r="A372" s="7" t="s">
        <v>632</v>
      </c>
      <c r="B372" s="8" t="s">
        <v>114</v>
      </c>
      <c r="C372" s="8" t="n">
        <v>117</v>
      </c>
      <c r="D372" s="8" t="s">
        <v>46</v>
      </c>
      <c r="E372" s="9" t="n">
        <v>45847</v>
      </c>
      <c r="F372" s="8" t="n">
        <f aca="true">IF(E372="","",ROUND((TODAY()-E372)/7,1))</f>
        <v>48.6</v>
      </c>
      <c r="G372" s="8" t="s">
        <v>52</v>
      </c>
      <c r="H372" s="8"/>
      <c r="I372" s="8" t="s">
        <v>626</v>
      </c>
      <c r="J372" s="8" t="s">
        <v>626</v>
      </c>
      <c r="K372" s="8" t="n">
        <v>1</v>
      </c>
      <c r="L372" s="10"/>
      <c r="M372" s="10"/>
      <c r="N372" s="10"/>
      <c r="O372" s="10" t="s">
        <v>73</v>
      </c>
      <c r="P372" s="8" t="str">
        <f aca="false">MID(IF(L372="","","; APP:"&amp;L372)&amp;IF(M372="","","; PS1:"&amp;M372)&amp;IF(N372="","","; AQP4:"&amp;N372)&amp;IF(O372="","","; CAG-EGFP:"&amp;O372),3,200)</f>
        <v>CAG-EGFP:+</v>
      </c>
      <c r="Q372" s="8" t="s">
        <v>47</v>
      </c>
      <c r="R372" s="8" t="s">
        <v>88</v>
      </c>
      <c r="S372" s="8"/>
      <c r="T372" s="8" t="s">
        <v>627</v>
      </c>
    </row>
    <row r="373" customFormat="false" ht="17.15" hidden="false" customHeight="false" outlineLevel="0" collapsed="false">
      <c r="A373" s="7" t="s">
        <v>633</v>
      </c>
      <c r="B373" s="8" t="s">
        <v>114</v>
      </c>
      <c r="C373" s="8" t="n">
        <v>118</v>
      </c>
      <c r="D373" s="8" t="s">
        <v>33</v>
      </c>
      <c r="E373" s="9" t="n">
        <v>45853</v>
      </c>
      <c r="F373" s="8" t="n">
        <f aca="true">IF(E373="","",ROUND((TODAY()-E373)/7,1))</f>
        <v>47.7</v>
      </c>
      <c r="G373" s="8" t="s">
        <v>52</v>
      </c>
      <c r="H373" s="8"/>
      <c r="I373" s="8" t="s">
        <v>626</v>
      </c>
      <c r="J373" s="8" t="s">
        <v>626</v>
      </c>
      <c r="K373" s="8" t="n">
        <v>1</v>
      </c>
      <c r="L373" s="10"/>
      <c r="M373" s="10"/>
      <c r="N373" s="10"/>
      <c r="O373" s="10" t="s">
        <v>73</v>
      </c>
      <c r="P373" s="8" t="str">
        <f aca="false">MID(IF(L373="","","; APP:"&amp;L373)&amp;IF(M373="","","; PS1:"&amp;M373)&amp;IF(N373="","","; AQP4:"&amp;N373)&amp;IF(O373="","","; CAG-EGFP:"&amp;O373),3,200)</f>
        <v>CAG-EGFP:+</v>
      </c>
      <c r="Q373" s="8" t="s">
        <v>47</v>
      </c>
      <c r="R373" s="8" t="s">
        <v>88</v>
      </c>
      <c r="S373" s="8"/>
      <c r="T373" s="11" t="s">
        <v>634</v>
      </c>
    </row>
    <row r="374" customFormat="false" ht="17.15" hidden="false" customHeight="false" outlineLevel="0" collapsed="false">
      <c r="A374" s="7" t="s">
        <v>635</v>
      </c>
      <c r="B374" s="8" t="s">
        <v>114</v>
      </c>
      <c r="C374" s="8" t="n">
        <v>119</v>
      </c>
      <c r="D374" s="8" t="s">
        <v>33</v>
      </c>
      <c r="E374" s="9" t="n">
        <v>45853</v>
      </c>
      <c r="F374" s="8" t="n">
        <f aca="true">IF(E374="","",ROUND((TODAY()-E374)/7,1))</f>
        <v>47.7</v>
      </c>
      <c r="G374" s="8" t="s">
        <v>52</v>
      </c>
      <c r="H374" s="8"/>
      <c r="I374" s="8" t="s">
        <v>626</v>
      </c>
      <c r="J374" s="8" t="s">
        <v>626</v>
      </c>
      <c r="K374" s="8" t="n">
        <v>1</v>
      </c>
      <c r="L374" s="10"/>
      <c r="M374" s="10"/>
      <c r="N374" s="10"/>
      <c r="O374" s="10" t="s">
        <v>73</v>
      </c>
      <c r="P374" s="8" t="str">
        <f aca="false">MID(IF(L374="","","; APP:"&amp;L374)&amp;IF(M374="","","; PS1:"&amp;M374)&amp;IF(N374="","","; AQP4:"&amp;N374)&amp;IF(O374="","","; CAG-EGFP:"&amp;O374),3,200)</f>
        <v>CAG-EGFP:+</v>
      </c>
      <c r="Q374" s="8" t="s">
        <v>47</v>
      </c>
      <c r="R374" s="8" t="s">
        <v>88</v>
      </c>
      <c r="S374" s="8"/>
      <c r="T374" s="11" t="s">
        <v>634</v>
      </c>
    </row>
    <row r="375" customFormat="false" ht="17.15" hidden="false" customHeight="false" outlineLevel="0" collapsed="false">
      <c r="A375" s="7" t="s">
        <v>636</v>
      </c>
      <c r="B375" s="8" t="s">
        <v>114</v>
      </c>
      <c r="C375" s="8" t="n">
        <v>120</v>
      </c>
      <c r="D375" s="8" t="s">
        <v>33</v>
      </c>
      <c r="E375" s="9" t="n">
        <v>45853</v>
      </c>
      <c r="F375" s="8" t="n">
        <f aca="true">IF(E375="","",ROUND((TODAY()-E375)/7,1))</f>
        <v>47.7</v>
      </c>
      <c r="G375" s="8" t="s">
        <v>52</v>
      </c>
      <c r="H375" s="8"/>
      <c r="I375" s="8" t="s">
        <v>626</v>
      </c>
      <c r="J375" s="8" t="s">
        <v>626</v>
      </c>
      <c r="K375" s="8" t="n">
        <v>1</v>
      </c>
      <c r="L375" s="10"/>
      <c r="M375" s="10"/>
      <c r="N375" s="10"/>
      <c r="O375" s="10" t="s">
        <v>73</v>
      </c>
      <c r="P375" s="8" t="str">
        <f aca="false">MID(IF(L375="","","; APP:"&amp;L375)&amp;IF(M375="","","; PS1:"&amp;M375)&amp;IF(N375="","","; AQP4:"&amp;N375)&amp;IF(O375="","","; CAG-EGFP:"&amp;O375),3,200)</f>
        <v>CAG-EGFP:+</v>
      </c>
      <c r="Q375" s="8" t="s">
        <v>47</v>
      </c>
      <c r="R375" s="8" t="s">
        <v>88</v>
      </c>
      <c r="S375" s="8"/>
      <c r="T375" s="11" t="s">
        <v>634</v>
      </c>
    </row>
    <row r="376" customFormat="false" ht="17.15" hidden="false" customHeight="false" outlineLevel="0" collapsed="false">
      <c r="A376" s="7" t="s">
        <v>637</v>
      </c>
      <c r="B376" s="8" t="s">
        <v>114</v>
      </c>
      <c r="C376" s="8" t="n">
        <v>121</v>
      </c>
      <c r="D376" s="8" t="s">
        <v>33</v>
      </c>
      <c r="E376" s="9" t="n">
        <v>45853</v>
      </c>
      <c r="F376" s="8" t="n">
        <f aca="true">IF(E376="","",ROUND((TODAY()-E376)/7,1))</f>
        <v>47.7</v>
      </c>
      <c r="G376" s="8" t="s">
        <v>52</v>
      </c>
      <c r="H376" s="8"/>
      <c r="I376" s="8" t="s">
        <v>626</v>
      </c>
      <c r="J376" s="8" t="s">
        <v>626</v>
      </c>
      <c r="K376" s="8" t="n">
        <v>1</v>
      </c>
      <c r="L376" s="10"/>
      <c r="M376" s="10"/>
      <c r="N376" s="10"/>
      <c r="O376" s="10" t="s">
        <v>73</v>
      </c>
      <c r="P376" s="8" t="str">
        <f aca="false">MID(IF(L376="","","; APP:"&amp;L376)&amp;IF(M376="","","; PS1:"&amp;M376)&amp;IF(N376="","","; AQP4:"&amp;N376)&amp;IF(O376="","","; CAG-EGFP:"&amp;O376),3,200)</f>
        <v>CAG-EGFP:+</v>
      </c>
      <c r="Q376" s="8" t="s">
        <v>47</v>
      </c>
      <c r="R376" s="8" t="s">
        <v>88</v>
      </c>
      <c r="S376" s="8"/>
      <c r="T376" s="11" t="s">
        <v>634</v>
      </c>
    </row>
    <row r="377" customFormat="false" ht="17.15" hidden="false" customHeight="false" outlineLevel="0" collapsed="false">
      <c r="A377" s="7" t="s">
        <v>638</v>
      </c>
      <c r="B377" s="8" t="s">
        <v>114</v>
      </c>
      <c r="C377" s="8" t="n">
        <v>122</v>
      </c>
      <c r="D377" s="8" t="s">
        <v>33</v>
      </c>
      <c r="E377" s="9" t="n">
        <v>45853</v>
      </c>
      <c r="F377" s="8" t="n">
        <f aca="true">IF(E377="","",ROUND((TODAY()-E377)/7,1))</f>
        <v>47.7</v>
      </c>
      <c r="G377" s="8" t="s">
        <v>52</v>
      </c>
      <c r="H377" s="8"/>
      <c r="I377" s="8" t="s">
        <v>626</v>
      </c>
      <c r="J377" s="8" t="s">
        <v>626</v>
      </c>
      <c r="K377" s="8" t="n">
        <v>1</v>
      </c>
      <c r="L377" s="10"/>
      <c r="M377" s="10"/>
      <c r="N377" s="10"/>
      <c r="O377" s="10" t="s">
        <v>73</v>
      </c>
      <c r="P377" s="8" t="str">
        <f aca="false">MID(IF(L377="","","; APP:"&amp;L377)&amp;IF(M377="","","; PS1:"&amp;M377)&amp;IF(N377="","","; AQP4:"&amp;N377)&amp;IF(O377="","","; CAG-EGFP:"&amp;O377),3,200)</f>
        <v>CAG-EGFP:+</v>
      </c>
      <c r="Q377" s="8" t="s">
        <v>47</v>
      </c>
      <c r="R377" s="8" t="s">
        <v>88</v>
      </c>
      <c r="S377" s="8"/>
      <c r="T377" s="11" t="s">
        <v>634</v>
      </c>
    </row>
    <row r="378" customFormat="false" ht="15" hidden="false" customHeight="false" outlineLevel="0" collapsed="false">
      <c r="A378" s="7" t="s">
        <v>639</v>
      </c>
      <c r="B378" s="8" t="s">
        <v>114</v>
      </c>
      <c r="C378" s="8" t="n">
        <v>123</v>
      </c>
      <c r="D378" s="8" t="s">
        <v>33</v>
      </c>
      <c r="E378" s="9" t="n">
        <v>45932</v>
      </c>
      <c r="F378" s="8" t="n">
        <f aca="true">IF(E378="","",ROUND((TODAY()-E378)/7,1))</f>
        <v>36.4</v>
      </c>
      <c r="G378" s="8" t="s">
        <v>38</v>
      </c>
      <c r="H378" s="8"/>
      <c r="I378" s="8" t="s">
        <v>640</v>
      </c>
      <c r="J378" s="8" t="s">
        <v>641</v>
      </c>
      <c r="K378" s="8" t="n">
        <v>2</v>
      </c>
      <c r="L378" s="10"/>
      <c r="M378" s="10"/>
      <c r="N378" s="10"/>
      <c r="O378" s="10" t="s">
        <v>73</v>
      </c>
      <c r="P378" s="8" t="str">
        <f aca="false">MID(IF(L378="","","; APP:"&amp;L378)&amp;IF(M378="","","; PS1:"&amp;M378)&amp;IF(N378="","","; AQP4:"&amp;N378)&amp;IF(O378="","","; CAG-EGFP:"&amp;O378),3,200)</f>
        <v>CAG-EGFP:+</v>
      </c>
      <c r="Q378" s="8" t="s">
        <v>47</v>
      </c>
      <c r="R378" s="8" t="s">
        <v>88</v>
      </c>
      <c r="S378" s="8"/>
      <c r="T378" s="8"/>
    </row>
    <row r="379" customFormat="false" ht="15" hidden="false" customHeight="false" outlineLevel="0" collapsed="false">
      <c r="A379" s="7" t="s">
        <v>642</v>
      </c>
      <c r="B379" s="8" t="s">
        <v>114</v>
      </c>
      <c r="C379" s="8" t="n">
        <v>124</v>
      </c>
      <c r="D379" s="8" t="s">
        <v>33</v>
      </c>
      <c r="E379" s="9" t="n">
        <v>45932</v>
      </c>
      <c r="F379" s="8" t="n">
        <f aca="true">IF(E379="","",ROUND((TODAY()-E379)/7,1))</f>
        <v>36.4</v>
      </c>
      <c r="G379" s="8" t="s">
        <v>38</v>
      </c>
      <c r="H379" s="8"/>
      <c r="I379" s="8" t="s">
        <v>640</v>
      </c>
      <c r="J379" s="8" t="s">
        <v>641</v>
      </c>
      <c r="K379" s="8" t="n">
        <v>2</v>
      </c>
      <c r="L379" s="10"/>
      <c r="M379" s="10"/>
      <c r="N379" s="10"/>
      <c r="O379" s="10" t="s">
        <v>73</v>
      </c>
      <c r="P379" s="8" t="str">
        <f aca="false">MID(IF(L379="","","; APP:"&amp;L379)&amp;IF(M379="","","; PS1:"&amp;M379)&amp;IF(N379="","","; AQP4:"&amp;N379)&amp;IF(O379="","","; CAG-EGFP:"&amp;O379),3,200)</f>
        <v>CAG-EGFP:+</v>
      </c>
      <c r="Q379" s="8" t="s">
        <v>47</v>
      </c>
      <c r="R379" s="8" t="s">
        <v>88</v>
      </c>
      <c r="S379" s="8"/>
      <c r="T379" s="8"/>
    </row>
    <row r="380" customFormat="false" ht="17.15" hidden="false" customHeight="false" outlineLevel="0" collapsed="false">
      <c r="A380" s="7" t="s">
        <v>643</v>
      </c>
      <c r="B380" s="8" t="s">
        <v>114</v>
      </c>
      <c r="C380" s="8" t="n">
        <v>125</v>
      </c>
      <c r="D380" s="8" t="s">
        <v>33</v>
      </c>
      <c r="E380" s="9" t="n">
        <v>45932</v>
      </c>
      <c r="F380" s="8" t="n">
        <f aca="true">IF(E380="","",ROUND((TODAY()-E380)/7,1))</f>
        <v>36.4</v>
      </c>
      <c r="G380" s="8" t="s">
        <v>38</v>
      </c>
      <c r="H380" s="8"/>
      <c r="I380" s="8" t="s">
        <v>640</v>
      </c>
      <c r="J380" s="8" t="s">
        <v>641</v>
      </c>
      <c r="K380" s="8" t="n">
        <v>2</v>
      </c>
      <c r="L380" s="10"/>
      <c r="M380" s="10"/>
      <c r="N380" s="10"/>
      <c r="O380" s="10" t="s">
        <v>73</v>
      </c>
      <c r="P380" s="8" t="str">
        <f aca="false">MID(IF(L380="","","; APP:"&amp;L380)&amp;IF(M380="","","; PS1:"&amp;M380)&amp;IF(N380="","","; AQP4:"&amp;N380)&amp;IF(O380="","","; CAG-EGFP:"&amp;O380),3,200)</f>
        <v>CAG-EGFP:+</v>
      </c>
      <c r="Q380" s="8" t="s">
        <v>47</v>
      </c>
      <c r="R380" s="8" t="s">
        <v>14</v>
      </c>
      <c r="S380" s="8"/>
      <c r="T380" s="8" t="s">
        <v>644</v>
      </c>
    </row>
    <row r="381" customFormat="false" ht="17.15" hidden="false" customHeight="false" outlineLevel="0" collapsed="false">
      <c r="A381" s="7" t="s">
        <v>645</v>
      </c>
      <c r="B381" s="8" t="s">
        <v>114</v>
      </c>
      <c r="C381" s="8" t="n">
        <v>126</v>
      </c>
      <c r="D381" s="8" t="s">
        <v>46</v>
      </c>
      <c r="E381" s="9" t="n">
        <v>45932</v>
      </c>
      <c r="F381" s="8" t="n">
        <f aca="true">IF(E381="","",ROUND((TODAY()-E381)/7,1))</f>
        <v>36.4</v>
      </c>
      <c r="G381" s="8" t="s">
        <v>38</v>
      </c>
      <c r="H381" s="8"/>
      <c r="I381" s="8" t="s">
        <v>640</v>
      </c>
      <c r="J381" s="8" t="s">
        <v>641</v>
      </c>
      <c r="K381" s="8" t="n">
        <v>2</v>
      </c>
      <c r="L381" s="10"/>
      <c r="M381" s="10"/>
      <c r="N381" s="10"/>
      <c r="O381" s="10" t="s">
        <v>73</v>
      </c>
      <c r="P381" s="8" t="str">
        <f aca="false">MID(IF(L381="","","; APP:"&amp;L381)&amp;IF(M381="","","; PS1:"&amp;M381)&amp;IF(N381="","","; AQP4:"&amp;N381)&amp;IF(O381="","","; CAG-EGFP:"&amp;O381),3,200)</f>
        <v>CAG-EGFP:+</v>
      </c>
      <c r="Q381" s="8" t="s">
        <v>47</v>
      </c>
      <c r="R381" s="8" t="s">
        <v>14</v>
      </c>
      <c r="S381" s="8"/>
      <c r="T381" s="8" t="s">
        <v>646</v>
      </c>
    </row>
    <row r="382" customFormat="false" ht="15" hidden="false" customHeight="false" outlineLevel="0" collapsed="false">
      <c r="A382" s="7" t="s">
        <v>647</v>
      </c>
      <c r="B382" s="8" t="s">
        <v>114</v>
      </c>
      <c r="C382" s="8" t="n">
        <v>127</v>
      </c>
      <c r="D382" s="8" t="s">
        <v>46</v>
      </c>
      <c r="E382" s="9" t="n">
        <v>45932</v>
      </c>
      <c r="F382" s="8" t="n">
        <f aca="true">IF(E382="","",ROUND((TODAY()-E382)/7,1))</f>
        <v>36.4</v>
      </c>
      <c r="G382" s="8" t="s">
        <v>38</v>
      </c>
      <c r="H382" s="8"/>
      <c r="I382" s="8" t="s">
        <v>640</v>
      </c>
      <c r="J382" s="8" t="s">
        <v>641</v>
      </c>
      <c r="K382" s="8" t="n">
        <v>2</v>
      </c>
      <c r="L382" s="10"/>
      <c r="M382" s="10"/>
      <c r="N382" s="10"/>
      <c r="O382" s="10" t="s">
        <v>73</v>
      </c>
      <c r="P382" s="8" t="str">
        <f aca="false">MID(IF(L382="","","; APP:"&amp;L382)&amp;IF(M382="","","; PS1:"&amp;M382)&amp;IF(N382="","","; AQP4:"&amp;N382)&amp;IF(O382="","","; CAG-EGFP:"&amp;O382),3,200)</f>
        <v>CAG-EGFP:+</v>
      </c>
      <c r="Q382" s="8" t="s">
        <v>47</v>
      </c>
      <c r="R382" s="8" t="s">
        <v>14</v>
      </c>
      <c r="S382" s="8"/>
      <c r="T382" s="8" t="s">
        <v>151</v>
      </c>
    </row>
    <row r="383" customFormat="false" ht="15" hidden="false" customHeight="false" outlineLevel="0" collapsed="false">
      <c r="A383" s="7" t="s">
        <v>648</v>
      </c>
      <c r="B383" s="8" t="s">
        <v>114</v>
      </c>
      <c r="C383" s="8" t="n">
        <v>128</v>
      </c>
      <c r="D383" s="8" t="s">
        <v>33</v>
      </c>
      <c r="E383" s="9" t="n">
        <v>45933</v>
      </c>
      <c r="F383" s="8" t="n">
        <f aca="true">IF(E383="","",ROUND((TODAY()-E383)/7,1))</f>
        <v>36.3</v>
      </c>
      <c r="G383" s="8" t="s">
        <v>38</v>
      </c>
      <c r="H383" s="8"/>
      <c r="I383" s="8" t="s">
        <v>649</v>
      </c>
      <c r="J383" s="8" t="s">
        <v>650</v>
      </c>
      <c r="K383" s="8" t="n">
        <v>2</v>
      </c>
      <c r="L383" s="10"/>
      <c r="M383" s="10"/>
      <c r="N383" s="10"/>
      <c r="O383" s="10" t="s">
        <v>73</v>
      </c>
      <c r="P383" s="8" t="str">
        <f aca="false">MID(IF(L383="","","; APP:"&amp;L383)&amp;IF(M383="","","; PS1:"&amp;M383)&amp;IF(N383="","","; AQP4:"&amp;N383)&amp;IF(O383="","","; CAG-EGFP:"&amp;O383),3,200)</f>
        <v>CAG-EGFP:+</v>
      </c>
      <c r="Q383" s="8" t="s">
        <v>47</v>
      </c>
      <c r="R383" s="8" t="s">
        <v>88</v>
      </c>
      <c r="S383" s="8"/>
      <c r="T383" s="8"/>
    </row>
    <row r="384" customFormat="false" ht="15" hidden="false" customHeight="false" outlineLevel="0" collapsed="false">
      <c r="A384" s="7" t="s">
        <v>651</v>
      </c>
      <c r="B384" s="8" t="s">
        <v>114</v>
      </c>
      <c r="C384" s="8" t="n">
        <v>129</v>
      </c>
      <c r="D384" s="8" t="s">
        <v>33</v>
      </c>
      <c r="E384" s="9" t="n">
        <v>45933</v>
      </c>
      <c r="F384" s="8" t="n">
        <f aca="true">IF(E384="","",ROUND((TODAY()-E384)/7,1))</f>
        <v>36.3</v>
      </c>
      <c r="G384" s="8" t="s">
        <v>38</v>
      </c>
      <c r="H384" s="8"/>
      <c r="I384" s="8" t="s">
        <v>649</v>
      </c>
      <c r="J384" s="8" t="s">
        <v>650</v>
      </c>
      <c r="K384" s="8" t="n">
        <v>2</v>
      </c>
      <c r="L384" s="10"/>
      <c r="M384" s="10"/>
      <c r="N384" s="10"/>
      <c r="O384" s="10" t="s">
        <v>73</v>
      </c>
      <c r="P384" s="8" t="str">
        <f aca="false">MID(IF(L384="","","; APP:"&amp;L384)&amp;IF(M384="","","; PS1:"&amp;M384)&amp;IF(N384="","","; AQP4:"&amp;N384)&amp;IF(O384="","","; CAG-EGFP:"&amp;O384),3,200)</f>
        <v>CAG-EGFP:+</v>
      </c>
      <c r="Q384" s="8" t="s">
        <v>47</v>
      </c>
      <c r="R384" s="8" t="s">
        <v>88</v>
      </c>
      <c r="S384" s="8"/>
      <c r="T384" s="8"/>
    </row>
    <row r="385" customFormat="false" ht="15" hidden="false" customHeight="false" outlineLevel="0" collapsed="false">
      <c r="A385" s="7" t="s">
        <v>652</v>
      </c>
      <c r="B385" s="8" t="s">
        <v>114</v>
      </c>
      <c r="C385" s="8" t="n">
        <v>130</v>
      </c>
      <c r="D385" s="8" t="s">
        <v>33</v>
      </c>
      <c r="E385" s="9" t="n">
        <v>45933</v>
      </c>
      <c r="F385" s="8" t="n">
        <f aca="true">IF(E385="","",ROUND((TODAY()-E385)/7,1))</f>
        <v>36.3</v>
      </c>
      <c r="G385" s="8" t="s">
        <v>38</v>
      </c>
      <c r="H385" s="8"/>
      <c r="I385" s="8" t="s">
        <v>649</v>
      </c>
      <c r="J385" s="8" t="s">
        <v>650</v>
      </c>
      <c r="K385" s="8" t="n">
        <v>2</v>
      </c>
      <c r="L385" s="10"/>
      <c r="M385" s="10"/>
      <c r="N385" s="10"/>
      <c r="O385" s="10" t="s">
        <v>73</v>
      </c>
      <c r="P385" s="8" t="str">
        <f aca="false">MID(IF(L385="","","; APP:"&amp;L385)&amp;IF(M385="","","; PS1:"&amp;M385)&amp;IF(N385="","","; AQP4:"&amp;N385)&amp;IF(O385="","","; CAG-EGFP:"&amp;O385),3,200)</f>
        <v>CAG-EGFP:+</v>
      </c>
      <c r="Q385" s="8" t="s">
        <v>47</v>
      </c>
      <c r="R385" s="8" t="s">
        <v>14</v>
      </c>
      <c r="S385" s="8"/>
      <c r="T385" s="8" t="s">
        <v>151</v>
      </c>
    </row>
    <row r="386" customFormat="false" ht="15" hidden="false" customHeight="false" outlineLevel="0" collapsed="false">
      <c r="A386" s="7" t="s">
        <v>653</v>
      </c>
      <c r="B386" s="8" t="s">
        <v>114</v>
      </c>
      <c r="C386" s="8" t="n">
        <v>131</v>
      </c>
      <c r="D386" s="8" t="s">
        <v>46</v>
      </c>
      <c r="E386" s="9" t="n">
        <v>45933</v>
      </c>
      <c r="F386" s="8" t="n">
        <f aca="true">IF(E386="","",ROUND((TODAY()-E386)/7,1))</f>
        <v>36.3</v>
      </c>
      <c r="G386" s="8" t="s">
        <v>38</v>
      </c>
      <c r="H386" s="8"/>
      <c r="I386" s="8" t="s">
        <v>649</v>
      </c>
      <c r="J386" s="8" t="s">
        <v>650</v>
      </c>
      <c r="K386" s="8" t="n">
        <v>2</v>
      </c>
      <c r="L386" s="10"/>
      <c r="M386" s="10"/>
      <c r="N386" s="10"/>
      <c r="O386" s="10" t="s">
        <v>73</v>
      </c>
      <c r="P386" s="8" t="str">
        <f aca="false">MID(IF(L386="","","; APP:"&amp;L386)&amp;IF(M386="","","; PS1:"&amp;M386)&amp;IF(N386="","","; AQP4:"&amp;N386)&amp;IF(O386="","","; CAG-EGFP:"&amp;O386),3,200)</f>
        <v>CAG-EGFP:+</v>
      </c>
      <c r="Q386" s="8" t="s">
        <v>47</v>
      </c>
      <c r="R386" s="8" t="s">
        <v>88</v>
      </c>
      <c r="S386" s="8"/>
      <c r="T386" s="8"/>
    </row>
    <row r="387" customFormat="false" ht="15" hidden="false" customHeight="false" outlineLevel="0" collapsed="false">
      <c r="A387" s="7" t="s">
        <v>654</v>
      </c>
      <c r="B387" s="8" t="s">
        <v>114</v>
      </c>
      <c r="C387" s="8" t="n">
        <v>132</v>
      </c>
      <c r="D387" s="8" t="s">
        <v>46</v>
      </c>
      <c r="E387" s="9" t="n">
        <v>45933</v>
      </c>
      <c r="F387" s="8" t="n">
        <f aca="true">IF(E387="","",ROUND((TODAY()-E387)/7,1))</f>
        <v>36.3</v>
      </c>
      <c r="G387" s="8" t="s">
        <v>38</v>
      </c>
      <c r="H387" s="8"/>
      <c r="I387" s="8" t="s">
        <v>649</v>
      </c>
      <c r="J387" s="8" t="s">
        <v>650</v>
      </c>
      <c r="K387" s="8" t="n">
        <v>2</v>
      </c>
      <c r="L387" s="10"/>
      <c r="M387" s="10"/>
      <c r="N387" s="10"/>
      <c r="O387" s="10" t="s">
        <v>73</v>
      </c>
      <c r="P387" s="8" t="str">
        <f aca="false">MID(IF(L387="","","; APP:"&amp;L387)&amp;IF(M387="","","; PS1:"&amp;M387)&amp;IF(N387="","","; AQP4:"&amp;N387)&amp;IF(O387="","","; CAG-EGFP:"&amp;O387),3,200)</f>
        <v>CAG-EGFP:+</v>
      </c>
      <c r="Q387" s="8" t="s">
        <v>47</v>
      </c>
      <c r="R387" s="8" t="s">
        <v>88</v>
      </c>
      <c r="S387" s="8"/>
      <c r="T387" s="8"/>
    </row>
    <row r="388" customFormat="false" ht="15" hidden="false" customHeight="false" outlineLevel="0" collapsed="false">
      <c r="A388" s="7" t="s">
        <v>655</v>
      </c>
      <c r="B388" s="8" t="s">
        <v>114</v>
      </c>
      <c r="C388" s="8" t="n">
        <v>133</v>
      </c>
      <c r="D388" s="8" t="s">
        <v>46</v>
      </c>
      <c r="E388" s="9" t="n">
        <v>45933</v>
      </c>
      <c r="F388" s="8" t="n">
        <f aca="true">IF(E388="","",ROUND((TODAY()-E388)/7,1))</f>
        <v>36.3</v>
      </c>
      <c r="G388" s="8" t="s">
        <v>38</v>
      </c>
      <c r="H388" s="8"/>
      <c r="I388" s="8" t="s">
        <v>649</v>
      </c>
      <c r="J388" s="8" t="s">
        <v>650</v>
      </c>
      <c r="K388" s="8" t="n">
        <v>2</v>
      </c>
      <c r="L388" s="10"/>
      <c r="M388" s="10"/>
      <c r="N388" s="10"/>
      <c r="O388" s="10" t="s">
        <v>73</v>
      </c>
      <c r="P388" s="8" t="str">
        <f aca="false">MID(IF(L388="","","; APP:"&amp;L388)&amp;IF(M388="","","; PS1:"&amp;M388)&amp;IF(N388="","","; AQP4:"&amp;N388)&amp;IF(O388="","","; CAG-EGFP:"&amp;O388),3,200)</f>
        <v>CAG-EGFP:+</v>
      </c>
      <c r="Q388" s="8" t="s">
        <v>47</v>
      </c>
      <c r="R388" s="8" t="s">
        <v>88</v>
      </c>
      <c r="S388" s="8"/>
      <c r="T388" s="8"/>
    </row>
    <row r="389" customFormat="false" ht="15" hidden="false" customHeight="false" outlineLevel="0" collapsed="false">
      <c r="A389" s="7" t="s">
        <v>656</v>
      </c>
      <c r="B389" s="8" t="s">
        <v>114</v>
      </c>
      <c r="C389" s="8" t="n">
        <v>134</v>
      </c>
      <c r="D389" s="8" t="s">
        <v>46</v>
      </c>
      <c r="E389" s="9" t="n">
        <v>45933</v>
      </c>
      <c r="F389" s="8" t="n">
        <f aca="true">IF(E389="","",ROUND((TODAY()-E389)/7,1))</f>
        <v>36.3</v>
      </c>
      <c r="G389" s="8" t="s">
        <v>38</v>
      </c>
      <c r="H389" s="8"/>
      <c r="I389" s="8" t="s">
        <v>649</v>
      </c>
      <c r="J389" s="8" t="s">
        <v>650</v>
      </c>
      <c r="K389" s="8" t="n">
        <v>2</v>
      </c>
      <c r="L389" s="10"/>
      <c r="M389" s="10"/>
      <c r="N389" s="10"/>
      <c r="O389" s="10" t="s">
        <v>73</v>
      </c>
      <c r="P389" s="8" t="str">
        <f aca="false">MID(IF(L389="","","; APP:"&amp;L389)&amp;IF(M389="","","; PS1:"&amp;M389)&amp;IF(N389="","","; AQP4:"&amp;N389)&amp;IF(O389="","","; CAG-EGFP:"&amp;O389),3,200)</f>
        <v>CAG-EGFP:+</v>
      </c>
      <c r="Q389" s="8" t="s">
        <v>47</v>
      </c>
      <c r="R389" s="8" t="s">
        <v>88</v>
      </c>
      <c r="S389" s="8"/>
      <c r="T389" s="8"/>
    </row>
    <row r="390" customFormat="false" ht="17.15" hidden="false" customHeight="false" outlineLevel="0" collapsed="false">
      <c r="A390" s="7" t="s">
        <v>657</v>
      </c>
      <c r="B390" s="8" t="s">
        <v>114</v>
      </c>
      <c r="C390" s="8" t="n">
        <v>135</v>
      </c>
      <c r="D390" s="8" t="s">
        <v>46</v>
      </c>
      <c r="E390" s="9" t="n">
        <v>45933</v>
      </c>
      <c r="F390" s="8" t="n">
        <f aca="true">IF(E390="","",ROUND((TODAY()-E390)/7,1))</f>
        <v>36.3</v>
      </c>
      <c r="G390" s="8" t="s">
        <v>38</v>
      </c>
      <c r="H390" s="8"/>
      <c r="I390" s="8" t="s">
        <v>649</v>
      </c>
      <c r="J390" s="8" t="s">
        <v>650</v>
      </c>
      <c r="K390" s="8" t="n">
        <v>2</v>
      </c>
      <c r="L390" s="10"/>
      <c r="M390" s="10"/>
      <c r="N390" s="10"/>
      <c r="O390" s="10" t="s">
        <v>73</v>
      </c>
      <c r="P390" s="8" t="str">
        <f aca="false">MID(IF(L390="","","; APP:"&amp;L390)&amp;IF(M390="","","; PS1:"&amp;M390)&amp;IF(N390="","","; AQP4:"&amp;N390)&amp;IF(O390="","","; CAG-EGFP:"&amp;O390),3,200)</f>
        <v>CAG-EGFP:+</v>
      </c>
      <c r="Q390" s="8" t="s">
        <v>47</v>
      </c>
      <c r="R390" s="8" t="s">
        <v>14</v>
      </c>
      <c r="S390" s="8"/>
      <c r="T390" s="8" t="s">
        <v>644</v>
      </c>
    </row>
    <row r="391" customFormat="false" ht="17.15" hidden="false" customHeight="false" outlineLevel="0" collapsed="false">
      <c r="A391" s="7" t="s">
        <v>658</v>
      </c>
      <c r="B391" s="8" t="s">
        <v>114</v>
      </c>
      <c r="C391" s="8" t="n">
        <v>136</v>
      </c>
      <c r="D391" s="8" t="s">
        <v>33</v>
      </c>
      <c r="E391" s="9" t="n">
        <v>45933</v>
      </c>
      <c r="F391" s="8" t="n">
        <f aca="true">IF(E391="","",ROUND((TODAY()-E391)/7,1))</f>
        <v>36.3</v>
      </c>
      <c r="G391" s="8" t="s">
        <v>38</v>
      </c>
      <c r="H391" s="8"/>
      <c r="I391" s="8" t="s">
        <v>649</v>
      </c>
      <c r="J391" s="8" t="s">
        <v>650</v>
      </c>
      <c r="K391" s="8" t="n">
        <v>2</v>
      </c>
      <c r="L391" s="10"/>
      <c r="M391" s="10"/>
      <c r="N391" s="10"/>
      <c r="O391" s="10" t="s">
        <v>73</v>
      </c>
      <c r="P391" s="8" t="str">
        <f aca="false">MID(IF(L391="","","; APP:"&amp;L391)&amp;IF(M391="","","; PS1:"&amp;M391)&amp;IF(N391="","","; AQP4:"&amp;N391)&amp;IF(O391="","","; CAG-EGFP:"&amp;O391),3,200)</f>
        <v>CAG-EGFP:+</v>
      </c>
      <c r="Q391" s="8" t="s">
        <v>47</v>
      </c>
      <c r="R391" s="8" t="s">
        <v>14</v>
      </c>
      <c r="S391" s="8"/>
      <c r="T391" s="8" t="s">
        <v>659</v>
      </c>
    </row>
    <row r="392" customFormat="false" ht="15" hidden="false" customHeight="false" outlineLevel="0" collapsed="false">
      <c r="A392" s="7" t="s">
        <v>660</v>
      </c>
      <c r="B392" s="8" t="s">
        <v>114</v>
      </c>
      <c r="C392" s="8" t="n">
        <v>137</v>
      </c>
      <c r="D392" s="8" t="s">
        <v>33</v>
      </c>
      <c r="E392" s="9" t="n">
        <v>46008</v>
      </c>
      <c r="F392" s="8" t="n">
        <f aca="true">IF(E392="","",ROUND((TODAY()-E392)/7,1))</f>
        <v>25.6</v>
      </c>
      <c r="G392" s="8" t="s">
        <v>38</v>
      </c>
      <c r="H392" s="8"/>
      <c r="I392" s="8" t="s">
        <v>649</v>
      </c>
      <c r="J392" s="8" t="s">
        <v>641</v>
      </c>
      <c r="K392" s="8" t="n">
        <v>2</v>
      </c>
      <c r="L392" s="10"/>
      <c r="M392" s="10"/>
      <c r="N392" s="10"/>
      <c r="O392" s="10" t="s">
        <v>73</v>
      </c>
      <c r="P392" s="8" t="str">
        <f aca="false">MID(IF(L392="","","; APP:"&amp;L392)&amp;IF(M392="","","; PS1:"&amp;M392)&amp;IF(N392="","","; AQP4:"&amp;N392)&amp;IF(O392="","","; CAG-EGFP:"&amp;O392),3,200)</f>
        <v>CAG-EGFP:+</v>
      </c>
      <c r="Q392" s="8" t="s">
        <v>47</v>
      </c>
      <c r="R392" s="8" t="s">
        <v>88</v>
      </c>
      <c r="S392" s="8"/>
      <c r="T392" s="8"/>
    </row>
    <row r="393" customFormat="false" ht="17.15" hidden="false" customHeight="false" outlineLevel="0" collapsed="false">
      <c r="A393" s="7" t="s">
        <v>661</v>
      </c>
      <c r="B393" s="8" t="s">
        <v>114</v>
      </c>
      <c r="C393" s="8" t="n">
        <v>138</v>
      </c>
      <c r="D393" s="8" t="s">
        <v>33</v>
      </c>
      <c r="E393" s="9" t="n">
        <v>46008</v>
      </c>
      <c r="F393" s="8" t="n">
        <f aca="true">IF(E393="","",ROUND((TODAY()-E393)/7,1))</f>
        <v>25.6</v>
      </c>
      <c r="G393" s="8" t="s">
        <v>38</v>
      </c>
      <c r="H393" s="8"/>
      <c r="I393" s="8" t="s">
        <v>649</v>
      </c>
      <c r="J393" s="8" t="s">
        <v>641</v>
      </c>
      <c r="K393" s="8" t="n">
        <v>2</v>
      </c>
      <c r="L393" s="10"/>
      <c r="M393" s="10"/>
      <c r="N393" s="10"/>
      <c r="O393" s="10" t="s">
        <v>73</v>
      </c>
      <c r="P393" s="8" t="str">
        <f aca="false">MID(IF(L393="","","; APP:"&amp;L393)&amp;IF(M393="","","; PS1:"&amp;M393)&amp;IF(N393="","","; AQP4:"&amp;N393)&amp;IF(O393="","","; CAG-EGFP:"&amp;O393),3,200)</f>
        <v>CAG-EGFP:+</v>
      </c>
      <c r="Q393" s="8" t="s">
        <v>47</v>
      </c>
      <c r="R393" s="8" t="s">
        <v>74</v>
      </c>
      <c r="S393" s="8"/>
      <c r="T393" s="8" t="s">
        <v>662</v>
      </c>
    </row>
    <row r="394" customFormat="false" ht="17.15" hidden="false" customHeight="false" outlineLevel="0" collapsed="false">
      <c r="A394" s="7" t="s">
        <v>663</v>
      </c>
      <c r="B394" s="8" t="s">
        <v>114</v>
      </c>
      <c r="C394" s="8" t="n">
        <v>139</v>
      </c>
      <c r="D394" s="8" t="s">
        <v>33</v>
      </c>
      <c r="E394" s="9" t="n">
        <v>46008</v>
      </c>
      <c r="F394" s="8" t="n">
        <f aca="true">IF(E394="","",ROUND((TODAY()-E394)/7,1))</f>
        <v>25.6</v>
      </c>
      <c r="G394" s="8" t="s">
        <v>38</v>
      </c>
      <c r="H394" s="8"/>
      <c r="I394" s="8" t="s">
        <v>649</v>
      </c>
      <c r="J394" s="8" t="s">
        <v>641</v>
      </c>
      <c r="K394" s="8" t="n">
        <v>2</v>
      </c>
      <c r="L394" s="10"/>
      <c r="M394" s="10"/>
      <c r="N394" s="10"/>
      <c r="O394" s="10" t="s">
        <v>73</v>
      </c>
      <c r="P394" s="8" t="str">
        <f aca="false">MID(IF(L394="","","; APP:"&amp;L394)&amp;IF(M394="","","; PS1:"&amp;M394)&amp;IF(N394="","","; AQP4:"&amp;N394)&amp;IF(O394="","","; CAG-EGFP:"&amp;O394),3,200)</f>
        <v>CAG-EGFP:+</v>
      </c>
      <c r="Q394" s="8" t="s">
        <v>47</v>
      </c>
      <c r="R394" s="8" t="s">
        <v>14</v>
      </c>
      <c r="S394" s="8"/>
      <c r="T394" s="8" t="s">
        <v>540</v>
      </c>
    </row>
    <row r="395" customFormat="false" ht="17.15" hidden="false" customHeight="false" outlineLevel="0" collapsed="false">
      <c r="A395" s="7" t="s">
        <v>664</v>
      </c>
      <c r="B395" s="8" t="s">
        <v>114</v>
      </c>
      <c r="C395" s="8" t="n">
        <v>140</v>
      </c>
      <c r="D395" s="8" t="s">
        <v>46</v>
      </c>
      <c r="E395" s="9" t="n">
        <v>46008</v>
      </c>
      <c r="F395" s="8" t="n">
        <f aca="true">IF(E395="","",ROUND((TODAY()-E395)/7,1))</f>
        <v>25.6</v>
      </c>
      <c r="G395" s="8" t="s">
        <v>38</v>
      </c>
      <c r="H395" s="8"/>
      <c r="I395" s="8" t="s">
        <v>649</v>
      </c>
      <c r="J395" s="8" t="s">
        <v>641</v>
      </c>
      <c r="K395" s="8" t="n">
        <v>2</v>
      </c>
      <c r="L395" s="10"/>
      <c r="M395" s="10"/>
      <c r="N395" s="10"/>
      <c r="O395" s="10" t="s">
        <v>73</v>
      </c>
      <c r="P395" s="8" t="str">
        <f aca="false">MID(IF(L395="","","; APP:"&amp;L395)&amp;IF(M395="","","; PS1:"&amp;M395)&amp;IF(N395="","","; AQP4:"&amp;N395)&amp;IF(O395="","","; CAG-EGFP:"&amp;O395),3,200)</f>
        <v>CAG-EGFP:+</v>
      </c>
      <c r="Q395" s="8" t="s">
        <v>47</v>
      </c>
      <c r="R395" s="8" t="s">
        <v>14</v>
      </c>
      <c r="S395" s="8"/>
      <c r="T395" s="8" t="s">
        <v>540</v>
      </c>
    </row>
    <row r="396" customFormat="false" ht="15" hidden="false" customHeight="false" outlineLevel="0" collapsed="false">
      <c r="A396" s="7" t="s">
        <v>665</v>
      </c>
      <c r="B396" s="8" t="s">
        <v>114</v>
      </c>
      <c r="C396" s="8" t="n">
        <v>141</v>
      </c>
      <c r="D396" s="8" t="s">
        <v>46</v>
      </c>
      <c r="E396" s="9" t="n">
        <v>46008</v>
      </c>
      <c r="F396" s="8" t="n">
        <f aca="true">IF(E396="","",ROUND((TODAY()-E396)/7,1))</f>
        <v>25.6</v>
      </c>
      <c r="G396" s="8" t="s">
        <v>38</v>
      </c>
      <c r="H396" s="8"/>
      <c r="I396" s="8" t="s">
        <v>649</v>
      </c>
      <c r="J396" s="8" t="s">
        <v>641</v>
      </c>
      <c r="K396" s="8" t="n">
        <v>2</v>
      </c>
      <c r="L396" s="10"/>
      <c r="M396" s="10"/>
      <c r="N396" s="10"/>
      <c r="O396" s="10" t="s">
        <v>73</v>
      </c>
      <c r="P396" s="8" t="str">
        <f aca="false">MID(IF(L396="","","; APP:"&amp;L396)&amp;IF(M396="","","; PS1:"&amp;M396)&amp;IF(N396="","","; AQP4:"&amp;N396)&amp;IF(O396="","","; CAG-EGFP:"&amp;O396),3,200)</f>
        <v>CAG-EGFP:+</v>
      </c>
      <c r="Q396" s="8" t="s">
        <v>47</v>
      </c>
      <c r="R396" s="8" t="s">
        <v>14</v>
      </c>
      <c r="S396" s="8"/>
      <c r="T396" s="8"/>
    </row>
    <row r="397" customFormat="false" ht="17.15" hidden="false" customHeight="false" outlineLevel="0" collapsed="false">
      <c r="A397" s="7" t="s">
        <v>666</v>
      </c>
      <c r="B397" s="8" t="s">
        <v>114</v>
      </c>
      <c r="C397" s="8" t="n">
        <v>142</v>
      </c>
      <c r="D397" s="8" t="s">
        <v>46</v>
      </c>
      <c r="E397" s="9" t="n">
        <v>46008</v>
      </c>
      <c r="F397" s="8" t="n">
        <f aca="true">IF(E397="","",ROUND((TODAY()-E397)/7,1))</f>
        <v>25.6</v>
      </c>
      <c r="G397" s="8" t="s">
        <v>38</v>
      </c>
      <c r="H397" s="8"/>
      <c r="I397" s="8" t="s">
        <v>649</v>
      </c>
      <c r="J397" s="8" t="s">
        <v>641</v>
      </c>
      <c r="K397" s="8" t="n">
        <v>2</v>
      </c>
      <c r="L397" s="10"/>
      <c r="M397" s="10"/>
      <c r="N397" s="10"/>
      <c r="O397" s="10" t="s">
        <v>73</v>
      </c>
      <c r="P397" s="8" t="str">
        <f aca="false">MID(IF(L397="","","; APP:"&amp;L397)&amp;IF(M397="","","; PS1:"&amp;M397)&amp;IF(N397="","","; AQP4:"&amp;N397)&amp;IF(O397="","","; CAG-EGFP:"&amp;O397),3,200)</f>
        <v>CAG-EGFP:+</v>
      </c>
      <c r="Q397" s="8" t="s">
        <v>47</v>
      </c>
      <c r="R397" s="8" t="s">
        <v>14</v>
      </c>
      <c r="S397" s="8"/>
      <c r="T397" s="8" t="s">
        <v>540</v>
      </c>
    </row>
    <row r="398" customFormat="false" ht="17.15" hidden="false" customHeight="false" outlineLevel="0" collapsed="false">
      <c r="A398" s="7" t="s">
        <v>667</v>
      </c>
      <c r="B398" s="8" t="s">
        <v>114</v>
      </c>
      <c r="C398" s="8" t="n">
        <v>143</v>
      </c>
      <c r="D398" s="8" t="s">
        <v>46</v>
      </c>
      <c r="E398" s="9" t="n">
        <v>46009</v>
      </c>
      <c r="F398" s="8" t="n">
        <f aca="true">IF(E398="","",ROUND((TODAY()-E398)/7,1))</f>
        <v>25.4</v>
      </c>
      <c r="G398" s="8" t="s">
        <v>38</v>
      </c>
      <c r="H398" s="8"/>
      <c r="I398" s="8" t="s">
        <v>640</v>
      </c>
      <c r="J398" s="8" t="s">
        <v>650</v>
      </c>
      <c r="K398" s="8" t="n">
        <v>2</v>
      </c>
      <c r="L398" s="10"/>
      <c r="M398" s="10"/>
      <c r="N398" s="10"/>
      <c r="O398" s="10" t="s">
        <v>73</v>
      </c>
      <c r="P398" s="8" t="str">
        <f aca="false">MID(IF(L398="","","; APP:"&amp;L398)&amp;IF(M398="","","; PS1:"&amp;M398)&amp;IF(N398="","","; AQP4:"&amp;N398)&amp;IF(O398="","","; CAG-EGFP:"&amp;O398),3,200)</f>
        <v>CAG-EGFP:+</v>
      </c>
      <c r="Q398" s="8" t="s">
        <v>47</v>
      </c>
      <c r="R398" s="8" t="s">
        <v>74</v>
      </c>
      <c r="S398" s="8"/>
      <c r="T398" s="8" t="s">
        <v>668</v>
      </c>
    </row>
    <row r="399" customFormat="false" ht="17.15" hidden="false" customHeight="false" outlineLevel="0" collapsed="false">
      <c r="A399" s="7" t="s">
        <v>669</v>
      </c>
      <c r="B399" s="8" t="s">
        <v>114</v>
      </c>
      <c r="C399" s="8" t="n">
        <v>144</v>
      </c>
      <c r="D399" s="8" t="s">
        <v>46</v>
      </c>
      <c r="E399" s="9" t="n">
        <v>46009</v>
      </c>
      <c r="F399" s="8" t="n">
        <f aca="true">IF(E399="","",ROUND((TODAY()-E399)/7,1))</f>
        <v>25.4</v>
      </c>
      <c r="G399" s="8" t="s">
        <v>38</v>
      </c>
      <c r="H399" s="8"/>
      <c r="I399" s="8" t="s">
        <v>640</v>
      </c>
      <c r="J399" s="8" t="s">
        <v>650</v>
      </c>
      <c r="K399" s="8" t="n">
        <v>2</v>
      </c>
      <c r="L399" s="10"/>
      <c r="M399" s="10"/>
      <c r="N399" s="10"/>
      <c r="O399" s="10" t="s">
        <v>73</v>
      </c>
      <c r="P399" s="8" t="str">
        <f aca="false">MID(IF(L399="","","; APP:"&amp;L399)&amp;IF(M399="","","; PS1:"&amp;M399)&amp;IF(N399="","","; AQP4:"&amp;N399)&amp;IF(O399="","","; CAG-EGFP:"&amp;O399),3,200)</f>
        <v>CAG-EGFP:+</v>
      </c>
      <c r="Q399" s="8" t="s">
        <v>47</v>
      </c>
      <c r="R399" s="8" t="s">
        <v>74</v>
      </c>
      <c r="S399" s="8"/>
      <c r="T399" s="8" t="s">
        <v>668</v>
      </c>
    </row>
    <row r="400" customFormat="false" ht="17.15" hidden="false" customHeight="false" outlineLevel="0" collapsed="false">
      <c r="A400" s="7" t="s">
        <v>670</v>
      </c>
      <c r="B400" s="8" t="s">
        <v>114</v>
      </c>
      <c r="C400" s="8" t="n">
        <v>145</v>
      </c>
      <c r="D400" s="8" t="s">
        <v>33</v>
      </c>
      <c r="E400" s="9" t="n">
        <v>46062</v>
      </c>
      <c r="F400" s="8" t="n">
        <f aca="true">IF(E400="","",ROUND((TODAY()-E400)/7,1))</f>
        <v>17.9</v>
      </c>
      <c r="G400" s="8" t="s">
        <v>38</v>
      </c>
      <c r="H400" s="8"/>
      <c r="I400" s="8" t="s">
        <v>640</v>
      </c>
      <c r="J400" s="8" t="s">
        <v>650</v>
      </c>
      <c r="K400" s="8" t="n">
        <v>2</v>
      </c>
      <c r="L400" s="10"/>
      <c r="M400" s="10"/>
      <c r="N400" s="10"/>
      <c r="O400" s="10" t="s">
        <v>73</v>
      </c>
      <c r="P400" s="8" t="str">
        <f aca="false">MID(IF(L400="","","; APP:"&amp;L400)&amp;IF(M400="","","; PS1:"&amp;M400)&amp;IF(N400="","","; AQP4:"&amp;N400)&amp;IF(O400="","","; CAG-EGFP:"&amp;O400),3,200)</f>
        <v>CAG-EGFP:+</v>
      </c>
      <c r="Q400" s="8" t="s">
        <v>47</v>
      </c>
      <c r="R400" s="8" t="s">
        <v>14</v>
      </c>
      <c r="S400" s="8"/>
      <c r="T400" s="8" t="s">
        <v>671</v>
      </c>
    </row>
    <row r="401" customFormat="false" ht="17.15" hidden="false" customHeight="false" outlineLevel="0" collapsed="false">
      <c r="A401" s="7" t="s">
        <v>672</v>
      </c>
      <c r="B401" s="8" t="s">
        <v>114</v>
      </c>
      <c r="C401" s="8" t="n">
        <v>146</v>
      </c>
      <c r="D401" s="8" t="s">
        <v>33</v>
      </c>
      <c r="E401" s="9" t="n">
        <v>46067</v>
      </c>
      <c r="F401" s="8" t="n">
        <f aca="true">IF(E401="","",ROUND((TODAY()-E401)/7,1))</f>
        <v>17.1</v>
      </c>
      <c r="G401" s="8" t="s">
        <v>38</v>
      </c>
      <c r="H401" s="8"/>
      <c r="I401" s="8" t="s">
        <v>649</v>
      </c>
      <c r="J401" s="8" t="s">
        <v>641</v>
      </c>
      <c r="K401" s="8" t="n">
        <v>2</v>
      </c>
      <c r="L401" s="10"/>
      <c r="M401" s="10"/>
      <c r="N401" s="10"/>
      <c r="O401" s="10" t="s">
        <v>73</v>
      </c>
      <c r="P401" s="8" t="str">
        <f aca="false">MID(IF(L401="","","; APP:"&amp;L401)&amp;IF(M401="","","; PS1:"&amp;M401)&amp;IF(N401="","","; AQP4:"&amp;N401)&amp;IF(O401="","","; CAG-EGFP:"&amp;O401),3,200)</f>
        <v>CAG-EGFP:+</v>
      </c>
      <c r="Q401" s="8" t="s">
        <v>47</v>
      </c>
      <c r="R401" s="8" t="s">
        <v>14</v>
      </c>
      <c r="S401" s="8"/>
      <c r="T401" s="8" t="s">
        <v>540</v>
      </c>
    </row>
    <row r="402" customFormat="false" ht="17.15" hidden="false" customHeight="false" outlineLevel="0" collapsed="false">
      <c r="A402" s="7" t="s">
        <v>673</v>
      </c>
      <c r="B402" s="8" t="s">
        <v>114</v>
      </c>
      <c r="C402" s="8" t="n">
        <v>147</v>
      </c>
      <c r="D402" s="8" t="s">
        <v>33</v>
      </c>
      <c r="E402" s="9" t="n">
        <v>46067</v>
      </c>
      <c r="F402" s="8" t="n">
        <f aca="true">IF(E402="","",ROUND((TODAY()-E402)/7,1))</f>
        <v>17.1</v>
      </c>
      <c r="G402" s="8" t="s">
        <v>38</v>
      </c>
      <c r="H402" s="8"/>
      <c r="I402" s="8" t="s">
        <v>649</v>
      </c>
      <c r="J402" s="8" t="s">
        <v>641</v>
      </c>
      <c r="K402" s="8" t="n">
        <v>2</v>
      </c>
      <c r="L402" s="10"/>
      <c r="M402" s="10"/>
      <c r="N402" s="10"/>
      <c r="O402" s="10" t="s">
        <v>73</v>
      </c>
      <c r="P402" s="8" t="str">
        <f aca="false">MID(IF(L402="","","; APP:"&amp;L402)&amp;IF(M402="","","; PS1:"&amp;M402)&amp;IF(N402="","","; AQP4:"&amp;N402)&amp;IF(O402="","","; CAG-EGFP:"&amp;O402),3,200)</f>
        <v>CAG-EGFP:+</v>
      </c>
      <c r="Q402" s="8" t="s">
        <v>47</v>
      </c>
      <c r="R402" s="8" t="s">
        <v>14</v>
      </c>
      <c r="S402" s="8"/>
      <c r="T402" s="8" t="s">
        <v>540</v>
      </c>
    </row>
    <row r="403" customFormat="false" ht="17.15" hidden="false" customHeight="false" outlineLevel="0" collapsed="false">
      <c r="A403" s="7" t="s">
        <v>674</v>
      </c>
      <c r="B403" s="8" t="s">
        <v>114</v>
      </c>
      <c r="C403" s="8" t="n">
        <v>148</v>
      </c>
      <c r="D403" s="8" t="s">
        <v>33</v>
      </c>
      <c r="E403" s="9" t="n">
        <v>46067</v>
      </c>
      <c r="F403" s="8" t="n">
        <f aca="true">IF(E403="","",ROUND((TODAY()-E403)/7,1))</f>
        <v>17.1</v>
      </c>
      <c r="G403" s="8" t="s">
        <v>38</v>
      </c>
      <c r="H403" s="8"/>
      <c r="I403" s="8" t="s">
        <v>649</v>
      </c>
      <c r="J403" s="8" t="s">
        <v>641</v>
      </c>
      <c r="K403" s="8" t="n">
        <v>2</v>
      </c>
      <c r="L403" s="10"/>
      <c r="M403" s="10"/>
      <c r="N403" s="10"/>
      <c r="O403" s="10" t="s">
        <v>73</v>
      </c>
      <c r="P403" s="8" t="str">
        <f aca="false">MID(IF(L403="","","; APP:"&amp;L403)&amp;IF(M403="","","; PS1:"&amp;M403)&amp;IF(N403="","","; AQP4:"&amp;N403)&amp;IF(O403="","","; CAG-EGFP:"&amp;O403),3,200)</f>
        <v>CAG-EGFP:+</v>
      </c>
      <c r="Q403" s="8" t="s">
        <v>47</v>
      </c>
      <c r="R403" s="8" t="s">
        <v>74</v>
      </c>
      <c r="S403" s="8"/>
      <c r="T403" s="8" t="s">
        <v>675</v>
      </c>
    </row>
    <row r="404" customFormat="false" ht="17.15" hidden="false" customHeight="false" outlineLevel="0" collapsed="false">
      <c r="A404" s="7" t="s">
        <v>676</v>
      </c>
      <c r="B404" s="8" t="s">
        <v>114</v>
      </c>
      <c r="C404" s="8" t="n">
        <v>149</v>
      </c>
      <c r="D404" s="8" t="s">
        <v>33</v>
      </c>
      <c r="E404" s="9" t="n">
        <v>46067</v>
      </c>
      <c r="F404" s="8" t="n">
        <f aca="true">IF(E404="","",ROUND((TODAY()-E404)/7,1))</f>
        <v>17.1</v>
      </c>
      <c r="G404" s="8" t="s">
        <v>38</v>
      </c>
      <c r="H404" s="8"/>
      <c r="I404" s="8" t="s">
        <v>649</v>
      </c>
      <c r="J404" s="8" t="s">
        <v>641</v>
      </c>
      <c r="K404" s="8" t="n">
        <v>2</v>
      </c>
      <c r="L404" s="10"/>
      <c r="M404" s="10"/>
      <c r="N404" s="10"/>
      <c r="O404" s="10" t="s">
        <v>73</v>
      </c>
      <c r="P404" s="8" t="str">
        <f aca="false">MID(IF(L404="","","; APP:"&amp;L404)&amp;IF(M404="","","; PS1:"&amp;M404)&amp;IF(N404="","","; AQP4:"&amp;N404)&amp;IF(O404="","","; CAG-EGFP:"&amp;O404),3,200)</f>
        <v>CAG-EGFP:+</v>
      </c>
      <c r="Q404" s="8" t="s">
        <v>47</v>
      </c>
      <c r="R404" s="8" t="s">
        <v>74</v>
      </c>
      <c r="S404" s="8"/>
      <c r="T404" s="8" t="s">
        <v>675</v>
      </c>
    </row>
    <row r="405" customFormat="false" ht="15" hidden="false" customHeight="false" outlineLevel="0" collapsed="false">
      <c r="A405" s="7" t="s">
        <v>677</v>
      </c>
      <c r="B405" s="8" t="s">
        <v>114</v>
      </c>
      <c r="C405" s="8" t="n">
        <v>150</v>
      </c>
      <c r="D405" s="8" t="s">
        <v>46</v>
      </c>
      <c r="E405" s="9" t="n">
        <v>46067</v>
      </c>
      <c r="F405" s="8" t="n">
        <f aca="true">IF(E405="","",ROUND((TODAY()-E405)/7,1))</f>
        <v>17.1</v>
      </c>
      <c r="G405" s="8" t="s">
        <v>38</v>
      </c>
      <c r="H405" s="8"/>
      <c r="I405" s="8" t="s">
        <v>649</v>
      </c>
      <c r="J405" s="8" t="s">
        <v>641</v>
      </c>
      <c r="K405" s="8" t="n">
        <v>2</v>
      </c>
      <c r="L405" s="10"/>
      <c r="M405" s="10"/>
      <c r="N405" s="10"/>
      <c r="O405" s="10" t="s">
        <v>73</v>
      </c>
      <c r="P405" s="8" t="str">
        <f aca="false">MID(IF(L405="","","; APP:"&amp;L405)&amp;IF(M405="","","; PS1:"&amp;M405)&amp;IF(N405="","","; AQP4:"&amp;N405)&amp;IF(O405="","","; CAG-EGFP:"&amp;O405),3,200)</f>
        <v>CAG-EGFP:+</v>
      </c>
      <c r="Q405" s="8" t="s">
        <v>47</v>
      </c>
      <c r="R405" s="8" t="s">
        <v>88</v>
      </c>
      <c r="S405" s="8"/>
      <c r="T405" s="8"/>
    </row>
    <row r="406" customFormat="false" ht="17.15" hidden="false" customHeight="false" outlineLevel="0" collapsed="false">
      <c r="A406" s="7" t="s">
        <v>678</v>
      </c>
      <c r="B406" s="8" t="s">
        <v>114</v>
      </c>
      <c r="C406" s="8" t="n">
        <v>1</v>
      </c>
      <c r="D406" s="8" t="s">
        <v>33</v>
      </c>
      <c r="E406" s="9" t="n">
        <v>44991</v>
      </c>
      <c r="F406" s="8" t="n">
        <f aca="true">IF(E406="","",ROUND((TODAY()-E406)/7,1))</f>
        <v>170.9</v>
      </c>
      <c r="G406" s="8" t="s">
        <v>52</v>
      </c>
      <c r="H406" s="8"/>
      <c r="I406" s="8" t="s">
        <v>626</v>
      </c>
      <c r="J406" s="8" t="s">
        <v>626</v>
      </c>
      <c r="K406" s="8" t="n">
        <v>1</v>
      </c>
      <c r="L406" s="10"/>
      <c r="M406" s="10"/>
      <c r="N406" s="10"/>
      <c r="O406" s="10" t="s">
        <v>73</v>
      </c>
      <c r="P406" s="8" t="str">
        <f aca="false">MID(IF(L406="","","; APP:"&amp;L406)&amp;IF(M406="","","; PS1:"&amp;M406)&amp;IF(N406="","","; AQP4:"&amp;N406)&amp;IF(O406="","","; CAG-EGFP:"&amp;O406),3,200)</f>
        <v>CAG-EGFP:+</v>
      </c>
      <c r="Q406" s="8" t="s">
        <v>47</v>
      </c>
      <c r="R406" s="8" t="s">
        <v>88</v>
      </c>
      <c r="S406" s="8"/>
      <c r="T406" s="8" t="s">
        <v>679</v>
      </c>
    </row>
    <row r="407" customFormat="false" ht="17.15" hidden="false" customHeight="false" outlineLevel="0" collapsed="false">
      <c r="A407" s="7" t="s">
        <v>680</v>
      </c>
      <c r="B407" s="8" t="s">
        <v>114</v>
      </c>
      <c r="C407" s="8" t="n">
        <v>2</v>
      </c>
      <c r="D407" s="8" t="s">
        <v>33</v>
      </c>
      <c r="E407" s="9" t="n">
        <v>44991</v>
      </c>
      <c r="F407" s="8" t="n">
        <f aca="true">IF(E407="","",ROUND((TODAY()-E407)/7,1))</f>
        <v>170.9</v>
      </c>
      <c r="G407" s="8" t="s">
        <v>52</v>
      </c>
      <c r="H407" s="8"/>
      <c r="I407" s="8" t="s">
        <v>626</v>
      </c>
      <c r="J407" s="8" t="s">
        <v>626</v>
      </c>
      <c r="K407" s="8" t="n">
        <v>1</v>
      </c>
      <c r="L407" s="10"/>
      <c r="M407" s="10"/>
      <c r="N407" s="10"/>
      <c r="O407" s="10" t="s">
        <v>73</v>
      </c>
      <c r="P407" s="8" t="str">
        <f aca="false">MID(IF(L407="","","; APP:"&amp;L407)&amp;IF(M407="","","; PS1:"&amp;M407)&amp;IF(N407="","","; AQP4:"&amp;N407)&amp;IF(O407="","","; CAG-EGFP:"&amp;O407),3,200)</f>
        <v>CAG-EGFP:+</v>
      </c>
      <c r="Q407" s="8" t="s">
        <v>47</v>
      </c>
      <c r="R407" s="8" t="s">
        <v>88</v>
      </c>
      <c r="S407" s="8"/>
      <c r="T407" s="8" t="s">
        <v>679</v>
      </c>
    </row>
    <row r="408" customFormat="false" ht="17.15" hidden="false" customHeight="false" outlineLevel="0" collapsed="false">
      <c r="A408" s="7" t="s">
        <v>681</v>
      </c>
      <c r="B408" s="8" t="s">
        <v>114</v>
      </c>
      <c r="C408" s="8" t="n">
        <v>3</v>
      </c>
      <c r="D408" s="8" t="s">
        <v>46</v>
      </c>
      <c r="E408" s="9" t="n">
        <v>44991</v>
      </c>
      <c r="F408" s="8" t="n">
        <f aca="true">IF(E408="","",ROUND((TODAY()-E408)/7,1))</f>
        <v>170.9</v>
      </c>
      <c r="G408" s="8" t="s">
        <v>52</v>
      </c>
      <c r="H408" s="8"/>
      <c r="I408" s="8" t="s">
        <v>626</v>
      </c>
      <c r="J408" s="8" t="s">
        <v>626</v>
      </c>
      <c r="K408" s="8" t="n">
        <v>1</v>
      </c>
      <c r="L408" s="10"/>
      <c r="M408" s="10"/>
      <c r="N408" s="10"/>
      <c r="O408" s="10" t="s">
        <v>73</v>
      </c>
      <c r="P408" s="8" t="str">
        <f aca="false">MID(IF(L408="","","; APP:"&amp;L408)&amp;IF(M408="","","; PS1:"&amp;M408)&amp;IF(N408="","","; AQP4:"&amp;N408)&amp;IF(O408="","","; CAG-EGFP:"&amp;O408),3,200)</f>
        <v>CAG-EGFP:+</v>
      </c>
      <c r="Q408" s="8" t="s">
        <v>47</v>
      </c>
      <c r="R408" s="8" t="s">
        <v>88</v>
      </c>
      <c r="S408" s="8"/>
      <c r="T408" s="8" t="s">
        <v>679</v>
      </c>
    </row>
    <row r="409" customFormat="false" ht="17.15" hidden="false" customHeight="false" outlineLevel="0" collapsed="false">
      <c r="A409" s="7" t="s">
        <v>682</v>
      </c>
      <c r="B409" s="8" t="s">
        <v>114</v>
      </c>
      <c r="C409" s="8" t="n">
        <v>4</v>
      </c>
      <c r="D409" s="8" t="s">
        <v>46</v>
      </c>
      <c r="E409" s="9" t="n">
        <v>44991</v>
      </c>
      <c r="F409" s="8" t="n">
        <f aca="true">IF(E409="","",ROUND((TODAY()-E409)/7,1))</f>
        <v>170.9</v>
      </c>
      <c r="G409" s="8" t="s">
        <v>52</v>
      </c>
      <c r="H409" s="8"/>
      <c r="I409" s="8" t="s">
        <v>626</v>
      </c>
      <c r="J409" s="8" t="s">
        <v>626</v>
      </c>
      <c r="K409" s="8" t="n">
        <v>1</v>
      </c>
      <c r="L409" s="10"/>
      <c r="M409" s="10"/>
      <c r="N409" s="10"/>
      <c r="O409" s="10" t="s">
        <v>73</v>
      </c>
      <c r="P409" s="8" t="str">
        <f aca="false">MID(IF(L409="","","; APP:"&amp;L409)&amp;IF(M409="","","; PS1:"&amp;M409)&amp;IF(N409="","","; AQP4:"&amp;N409)&amp;IF(O409="","","; CAG-EGFP:"&amp;O409),3,200)</f>
        <v>CAG-EGFP:+</v>
      </c>
      <c r="Q409" s="8" t="s">
        <v>47</v>
      </c>
      <c r="R409" s="8" t="s">
        <v>88</v>
      </c>
      <c r="S409" s="8"/>
      <c r="T409" s="8" t="s">
        <v>679</v>
      </c>
    </row>
    <row r="410" customFormat="false" ht="17.15" hidden="false" customHeight="false" outlineLevel="0" collapsed="false">
      <c r="A410" s="7" t="s">
        <v>683</v>
      </c>
      <c r="B410" s="8" t="s">
        <v>114</v>
      </c>
      <c r="C410" s="8" t="n">
        <v>5</v>
      </c>
      <c r="D410" s="8" t="s">
        <v>46</v>
      </c>
      <c r="E410" s="9" t="n">
        <v>44991</v>
      </c>
      <c r="F410" s="8" t="n">
        <f aca="true">IF(E410="","",ROUND((TODAY()-E410)/7,1))</f>
        <v>170.9</v>
      </c>
      <c r="G410" s="8" t="s">
        <v>52</v>
      </c>
      <c r="H410" s="8"/>
      <c r="I410" s="8" t="s">
        <v>626</v>
      </c>
      <c r="J410" s="8" t="s">
        <v>626</v>
      </c>
      <c r="K410" s="8" t="n">
        <v>1</v>
      </c>
      <c r="L410" s="10"/>
      <c r="M410" s="10"/>
      <c r="N410" s="10"/>
      <c r="O410" s="10" t="s">
        <v>73</v>
      </c>
      <c r="P410" s="8" t="str">
        <f aca="false">MID(IF(L410="","","; APP:"&amp;L410)&amp;IF(M410="","","; PS1:"&amp;M410)&amp;IF(N410="","","; AQP4:"&amp;N410)&amp;IF(O410="","","; CAG-EGFP:"&amp;O410),3,200)</f>
        <v>CAG-EGFP:+</v>
      </c>
      <c r="Q410" s="8" t="s">
        <v>47</v>
      </c>
      <c r="R410" s="8" t="s">
        <v>88</v>
      </c>
      <c r="S410" s="8"/>
      <c r="T410" s="8" t="s">
        <v>679</v>
      </c>
    </row>
    <row r="411" customFormat="false" ht="17.15" hidden="false" customHeight="false" outlineLevel="0" collapsed="false">
      <c r="A411" s="7" t="s">
        <v>684</v>
      </c>
      <c r="B411" s="8" t="s">
        <v>114</v>
      </c>
      <c r="C411" s="8" t="n">
        <v>6</v>
      </c>
      <c r="D411" s="8" t="s">
        <v>33</v>
      </c>
      <c r="E411" s="9" t="n">
        <v>45200</v>
      </c>
      <c r="F411" s="8" t="n">
        <f aca="true">IF(E411="","",ROUND((TODAY()-E411)/7,1))</f>
        <v>141</v>
      </c>
      <c r="G411" s="8" t="s">
        <v>52</v>
      </c>
      <c r="H411" s="8"/>
      <c r="I411" s="8" t="s">
        <v>626</v>
      </c>
      <c r="J411" s="8" t="s">
        <v>626</v>
      </c>
      <c r="K411" s="8" t="n">
        <v>1</v>
      </c>
      <c r="L411" s="10"/>
      <c r="M411" s="10"/>
      <c r="N411" s="10"/>
      <c r="O411" s="10" t="s">
        <v>73</v>
      </c>
      <c r="P411" s="8" t="str">
        <f aca="false">MID(IF(L411="","","; APP:"&amp;L411)&amp;IF(M411="","","; PS1:"&amp;M411)&amp;IF(N411="","","; AQP4:"&amp;N411)&amp;IF(O411="","","; CAG-EGFP:"&amp;O411),3,200)</f>
        <v>CAG-EGFP:+</v>
      </c>
      <c r="Q411" s="8" t="s">
        <v>47</v>
      </c>
      <c r="R411" s="8" t="s">
        <v>88</v>
      </c>
      <c r="S411" s="8"/>
      <c r="T411" s="11" t="s">
        <v>685</v>
      </c>
    </row>
    <row r="412" customFormat="false" ht="17.15" hidden="false" customHeight="false" outlineLevel="0" collapsed="false">
      <c r="A412" s="7" t="s">
        <v>686</v>
      </c>
      <c r="B412" s="8" t="s">
        <v>114</v>
      </c>
      <c r="C412" s="8" t="n">
        <v>7</v>
      </c>
      <c r="D412" s="8" t="s">
        <v>33</v>
      </c>
      <c r="E412" s="9" t="n">
        <v>45200</v>
      </c>
      <c r="F412" s="8" t="n">
        <f aca="true">IF(E412="","",ROUND((TODAY()-E412)/7,1))</f>
        <v>141</v>
      </c>
      <c r="G412" s="8" t="s">
        <v>52</v>
      </c>
      <c r="H412" s="8"/>
      <c r="I412" s="8" t="s">
        <v>626</v>
      </c>
      <c r="J412" s="8" t="s">
        <v>626</v>
      </c>
      <c r="K412" s="8" t="n">
        <v>1</v>
      </c>
      <c r="L412" s="10"/>
      <c r="M412" s="10"/>
      <c r="N412" s="10"/>
      <c r="O412" s="10" t="s">
        <v>73</v>
      </c>
      <c r="P412" s="8" t="str">
        <f aca="false">MID(IF(L412="","","; APP:"&amp;L412)&amp;IF(M412="","","; PS1:"&amp;M412)&amp;IF(N412="","","; AQP4:"&amp;N412)&amp;IF(O412="","","; CAG-EGFP:"&amp;O412),3,200)</f>
        <v>CAG-EGFP:+</v>
      </c>
      <c r="Q412" s="8" t="s">
        <v>47</v>
      </c>
      <c r="R412" s="8" t="s">
        <v>88</v>
      </c>
      <c r="S412" s="8"/>
      <c r="T412" s="11" t="s">
        <v>685</v>
      </c>
    </row>
    <row r="413" customFormat="false" ht="17.15" hidden="false" customHeight="false" outlineLevel="0" collapsed="false">
      <c r="A413" s="7" t="s">
        <v>687</v>
      </c>
      <c r="B413" s="8" t="s">
        <v>114</v>
      </c>
      <c r="C413" s="8" t="n">
        <v>8</v>
      </c>
      <c r="D413" s="8" t="s">
        <v>33</v>
      </c>
      <c r="E413" s="9" t="n">
        <v>45200</v>
      </c>
      <c r="F413" s="8" t="n">
        <f aca="true">IF(E413="","",ROUND((TODAY()-E413)/7,1))</f>
        <v>141</v>
      </c>
      <c r="G413" s="8" t="s">
        <v>52</v>
      </c>
      <c r="H413" s="8"/>
      <c r="I413" s="8" t="s">
        <v>626</v>
      </c>
      <c r="J413" s="8" t="s">
        <v>626</v>
      </c>
      <c r="K413" s="8" t="n">
        <v>1</v>
      </c>
      <c r="L413" s="10"/>
      <c r="M413" s="10"/>
      <c r="N413" s="10"/>
      <c r="O413" s="10" t="s">
        <v>73</v>
      </c>
      <c r="P413" s="8" t="str">
        <f aca="false">MID(IF(L413="","","; APP:"&amp;L413)&amp;IF(M413="","","; PS1:"&amp;M413)&amp;IF(N413="","","; AQP4:"&amp;N413)&amp;IF(O413="","","; CAG-EGFP:"&amp;O413),3,200)</f>
        <v>CAG-EGFP:+</v>
      </c>
      <c r="Q413" s="8" t="s">
        <v>47</v>
      </c>
      <c r="R413" s="8" t="s">
        <v>88</v>
      </c>
      <c r="S413" s="8"/>
      <c r="T413" s="11" t="s">
        <v>685</v>
      </c>
    </row>
    <row r="414" customFormat="false" ht="17.15" hidden="false" customHeight="false" outlineLevel="0" collapsed="false">
      <c r="A414" s="7" t="s">
        <v>688</v>
      </c>
      <c r="B414" s="8" t="s">
        <v>114</v>
      </c>
      <c r="C414" s="8" t="n">
        <v>9</v>
      </c>
      <c r="D414" s="8" t="s">
        <v>33</v>
      </c>
      <c r="E414" s="9" t="n">
        <v>45200</v>
      </c>
      <c r="F414" s="8" t="n">
        <f aca="true">IF(E414="","",ROUND((TODAY()-E414)/7,1))</f>
        <v>141</v>
      </c>
      <c r="G414" s="8" t="s">
        <v>52</v>
      </c>
      <c r="H414" s="8"/>
      <c r="I414" s="8" t="s">
        <v>626</v>
      </c>
      <c r="J414" s="8" t="s">
        <v>626</v>
      </c>
      <c r="K414" s="8" t="n">
        <v>1</v>
      </c>
      <c r="L414" s="10"/>
      <c r="M414" s="10"/>
      <c r="N414" s="10"/>
      <c r="O414" s="10" t="s">
        <v>73</v>
      </c>
      <c r="P414" s="8" t="str">
        <f aca="false">MID(IF(L414="","","; APP:"&amp;L414)&amp;IF(M414="","","; PS1:"&amp;M414)&amp;IF(N414="","","; AQP4:"&amp;N414)&amp;IF(O414="","","; CAG-EGFP:"&amp;O414),3,200)</f>
        <v>CAG-EGFP:+</v>
      </c>
      <c r="Q414" s="8" t="s">
        <v>47</v>
      </c>
      <c r="R414" s="8" t="s">
        <v>88</v>
      </c>
      <c r="S414" s="8"/>
      <c r="T414" s="11" t="s">
        <v>685</v>
      </c>
    </row>
    <row r="415" customFormat="false" ht="17.15" hidden="false" customHeight="false" outlineLevel="0" collapsed="false">
      <c r="A415" s="7" t="s">
        <v>689</v>
      </c>
      <c r="B415" s="8" t="s">
        <v>114</v>
      </c>
      <c r="C415" s="8" t="n">
        <v>10</v>
      </c>
      <c r="D415" s="8" t="s">
        <v>33</v>
      </c>
      <c r="E415" s="9" t="n">
        <v>45200</v>
      </c>
      <c r="F415" s="8" t="n">
        <f aca="true">IF(E415="","",ROUND((TODAY()-E415)/7,1))</f>
        <v>141</v>
      </c>
      <c r="G415" s="8" t="s">
        <v>52</v>
      </c>
      <c r="H415" s="8"/>
      <c r="I415" s="8" t="s">
        <v>626</v>
      </c>
      <c r="J415" s="8" t="s">
        <v>626</v>
      </c>
      <c r="K415" s="8" t="n">
        <v>1</v>
      </c>
      <c r="L415" s="10"/>
      <c r="M415" s="10"/>
      <c r="N415" s="10"/>
      <c r="O415" s="10" t="s">
        <v>73</v>
      </c>
      <c r="P415" s="8" t="str">
        <f aca="false">MID(IF(L415="","","; APP:"&amp;L415)&amp;IF(M415="","","; PS1:"&amp;M415)&amp;IF(N415="","","; AQP4:"&amp;N415)&amp;IF(O415="","","; CAG-EGFP:"&amp;O415),3,200)</f>
        <v>CAG-EGFP:+</v>
      </c>
      <c r="Q415" s="8" t="s">
        <v>47</v>
      </c>
      <c r="R415" s="8" t="s">
        <v>88</v>
      </c>
      <c r="S415" s="8"/>
      <c r="T415" s="11" t="s">
        <v>685</v>
      </c>
    </row>
    <row r="416" customFormat="false" ht="15" hidden="false" customHeight="false" outlineLevel="0" collapsed="false">
      <c r="A416" s="7" t="s">
        <v>690</v>
      </c>
      <c r="B416" s="8" t="s">
        <v>114</v>
      </c>
      <c r="C416" s="8" t="n">
        <v>11</v>
      </c>
      <c r="D416" s="8" t="s">
        <v>33</v>
      </c>
      <c r="E416" s="9" t="n">
        <v>45240</v>
      </c>
      <c r="F416" s="8" t="n">
        <f aca="true">IF(E416="","",ROUND((TODAY()-E416)/7,1))</f>
        <v>135.3</v>
      </c>
      <c r="G416" s="8" t="s">
        <v>38</v>
      </c>
      <c r="H416" s="8"/>
      <c r="I416" s="8" t="s">
        <v>691</v>
      </c>
      <c r="J416" s="8" t="s">
        <v>692</v>
      </c>
      <c r="K416" s="8" t="n">
        <v>2</v>
      </c>
      <c r="L416" s="10"/>
      <c r="M416" s="10"/>
      <c r="N416" s="10"/>
      <c r="O416" s="10" t="s">
        <v>73</v>
      </c>
      <c r="P416" s="8" t="str">
        <f aca="false">MID(IF(L416="","","; APP:"&amp;L416)&amp;IF(M416="","","; PS1:"&amp;M416)&amp;IF(N416="","","; AQP4:"&amp;N416)&amp;IF(O416="","","; CAG-EGFP:"&amp;O416),3,200)</f>
        <v>CAG-EGFP:+</v>
      </c>
      <c r="Q416" s="8" t="s">
        <v>47</v>
      </c>
      <c r="R416" s="8" t="s">
        <v>88</v>
      </c>
      <c r="S416" s="8"/>
      <c r="T416" s="8"/>
    </row>
    <row r="417" customFormat="false" ht="17.15" hidden="false" customHeight="false" outlineLevel="0" collapsed="false">
      <c r="A417" s="7" t="s">
        <v>693</v>
      </c>
      <c r="B417" s="8" t="s">
        <v>114</v>
      </c>
      <c r="C417" s="8" t="n">
        <v>12</v>
      </c>
      <c r="D417" s="8" t="s">
        <v>33</v>
      </c>
      <c r="E417" s="9" t="n">
        <v>45240</v>
      </c>
      <c r="F417" s="8" t="n">
        <f aca="true">IF(E417="","",ROUND((TODAY()-E417)/7,1))</f>
        <v>135.3</v>
      </c>
      <c r="G417" s="8" t="s">
        <v>38</v>
      </c>
      <c r="H417" s="8"/>
      <c r="I417" s="8" t="s">
        <v>691</v>
      </c>
      <c r="J417" s="8" t="s">
        <v>692</v>
      </c>
      <c r="K417" s="8" t="n">
        <v>2</v>
      </c>
      <c r="L417" s="10"/>
      <c r="M417" s="10"/>
      <c r="N417" s="10"/>
      <c r="O417" s="10" t="s">
        <v>73</v>
      </c>
      <c r="P417" s="8" t="str">
        <f aca="false">MID(IF(L417="","","; APP:"&amp;L417)&amp;IF(M417="","","; PS1:"&amp;M417)&amp;IF(N417="","","; AQP4:"&amp;N417)&amp;IF(O417="","","; CAG-EGFP:"&amp;O417),3,200)</f>
        <v>CAG-EGFP:+</v>
      </c>
      <c r="Q417" s="8" t="s">
        <v>47</v>
      </c>
      <c r="R417" s="8" t="s">
        <v>88</v>
      </c>
      <c r="S417" s="8"/>
      <c r="T417" s="8" t="s">
        <v>204</v>
      </c>
    </row>
    <row r="418" customFormat="false" ht="15" hidden="false" customHeight="false" outlineLevel="0" collapsed="false">
      <c r="A418" s="7" t="s">
        <v>694</v>
      </c>
      <c r="B418" s="8" t="s">
        <v>114</v>
      </c>
      <c r="C418" s="8" t="n">
        <v>13</v>
      </c>
      <c r="D418" s="8" t="s">
        <v>46</v>
      </c>
      <c r="E418" s="9" t="n">
        <v>45240</v>
      </c>
      <c r="F418" s="8" t="n">
        <f aca="true">IF(E418="","",ROUND((TODAY()-E418)/7,1))</f>
        <v>135.3</v>
      </c>
      <c r="G418" s="8" t="s">
        <v>38</v>
      </c>
      <c r="H418" s="8"/>
      <c r="I418" s="8" t="s">
        <v>691</v>
      </c>
      <c r="J418" s="8" t="s">
        <v>692</v>
      </c>
      <c r="K418" s="8" t="n">
        <v>2</v>
      </c>
      <c r="L418" s="10"/>
      <c r="M418" s="10"/>
      <c r="N418" s="10"/>
      <c r="O418" s="10" t="s">
        <v>73</v>
      </c>
      <c r="P418" s="8" t="str">
        <f aca="false">MID(IF(L418="","","; APP:"&amp;L418)&amp;IF(M418="","","; PS1:"&amp;M418)&amp;IF(N418="","","; AQP4:"&amp;N418)&amp;IF(O418="","","; CAG-EGFP:"&amp;O418),3,200)</f>
        <v>CAG-EGFP:+</v>
      </c>
      <c r="Q418" s="8" t="s">
        <v>47</v>
      </c>
      <c r="R418" s="8" t="s">
        <v>88</v>
      </c>
      <c r="S418" s="8"/>
      <c r="T418" s="8"/>
    </row>
    <row r="419" customFormat="false" ht="17.15" hidden="false" customHeight="false" outlineLevel="0" collapsed="false">
      <c r="A419" s="7" t="s">
        <v>695</v>
      </c>
      <c r="B419" s="8" t="s">
        <v>114</v>
      </c>
      <c r="C419" s="8" t="n">
        <v>14</v>
      </c>
      <c r="D419" s="8" t="s">
        <v>46</v>
      </c>
      <c r="E419" s="9" t="n">
        <v>45240</v>
      </c>
      <c r="F419" s="8" t="n">
        <f aca="true">IF(E419="","",ROUND((TODAY()-E419)/7,1))</f>
        <v>135.3</v>
      </c>
      <c r="G419" s="8" t="s">
        <v>38</v>
      </c>
      <c r="H419" s="8"/>
      <c r="I419" s="8" t="s">
        <v>691</v>
      </c>
      <c r="J419" s="8" t="s">
        <v>692</v>
      </c>
      <c r="K419" s="8" t="n">
        <v>2</v>
      </c>
      <c r="L419" s="10"/>
      <c r="M419" s="10"/>
      <c r="N419" s="10"/>
      <c r="O419" s="10" t="s">
        <v>73</v>
      </c>
      <c r="P419" s="8" t="str">
        <f aca="false">MID(IF(L419="","","; APP:"&amp;L419)&amp;IF(M419="","","; PS1:"&amp;M419)&amp;IF(N419="","","; AQP4:"&amp;N419)&amp;IF(O419="","","; CAG-EGFP:"&amp;O419),3,200)</f>
        <v>CAG-EGFP:+</v>
      </c>
      <c r="Q419" s="8" t="s">
        <v>47</v>
      </c>
      <c r="R419" s="8" t="s">
        <v>88</v>
      </c>
      <c r="S419" s="8"/>
      <c r="T419" s="8" t="s">
        <v>204</v>
      </c>
    </row>
    <row r="420" customFormat="false" ht="17.15" hidden="false" customHeight="false" outlineLevel="0" collapsed="false">
      <c r="A420" s="7" t="s">
        <v>696</v>
      </c>
      <c r="B420" s="8" t="s">
        <v>114</v>
      </c>
      <c r="C420" s="8" t="n">
        <v>15</v>
      </c>
      <c r="D420" s="8" t="s">
        <v>46</v>
      </c>
      <c r="E420" s="9" t="n">
        <v>45240</v>
      </c>
      <c r="F420" s="8" t="n">
        <f aca="true">IF(E420="","",ROUND((TODAY()-E420)/7,1))</f>
        <v>135.3</v>
      </c>
      <c r="G420" s="8" t="s">
        <v>38</v>
      </c>
      <c r="H420" s="8"/>
      <c r="I420" s="8" t="s">
        <v>691</v>
      </c>
      <c r="J420" s="8" t="s">
        <v>692</v>
      </c>
      <c r="K420" s="8" t="n">
        <v>2</v>
      </c>
      <c r="L420" s="10"/>
      <c r="M420" s="10"/>
      <c r="N420" s="10"/>
      <c r="O420" s="10" t="s">
        <v>73</v>
      </c>
      <c r="P420" s="8" t="str">
        <f aca="false">MID(IF(L420="","","; APP:"&amp;L420)&amp;IF(M420="","","; PS1:"&amp;M420)&amp;IF(N420="","","; AQP4:"&amp;N420)&amp;IF(O420="","","; CAG-EGFP:"&amp;O420),3,200)</f>
        <v>CAG-EGFP:+</v>
      </c>
      <c r="Q420" s="8" t="s">
        <v>47</v>
      </c>
      <c r="R420" s="8" t="s">
        <v>88</v>
      </c>
      <c r="S420" s="8"/>
      <c r="T420" s="8" t="s">
        <v>217</v>
      </c>
    </row>
    <row r="421" customFormat="false" ht="15" hidden="false" customHeight="false" outlineLevel="0" collapsed="false">
      <c r="A421" s="7" t="s">
        <v>697</v>
      </c>
      <c r="B421" s="8" t="s">
        <v>114</v>
      </c>
      <c r="C421" s="8" t="n">
        <v>16</v>
      </c>
      <c r="D421" s="8" t="s">
        <v>33</v>
      </c>
      <c r="E421" s="9" t="n">
        <v>45242</v>
      </c>
      <c r="F421" s="8" t="n">
        <f aca="true">IF(E421="","",ROUND((TODAY()-E421)/7,1))</f>
        <v>135</v>
      </c>
      <c r="G421" s="8" t="s">
        <v>38</v>
      </c>
      <c r="H421" s="8"/>
      <c r="I421" s="8" t="s">
        <v>698</v>
      </c>
      <c r="J421" s="8" t="s">
        <v>699</v>
      </c>
      <c r="K421" s="8" t="n">
        <v>2</v>
      </c>
      <c r="L421" s="10"/>
      <c r="M421" s="10"/>
      <c r="N421" s="10"/>
      <c r="O421" s="10" t="s">
        <v>73</v>
      </c>
      <c r="P421" s="8" t="str">
        <f aca="false">MID(IF(L421="","","; APP:"&amp;L421)&amp;IF(M421="","","; PS1:"&amp;M421)&amp;IF(N421="","","; AQP4:"&amp;N421)&amp;IF(O421="","","; CAG-EGFP:"&amp;O421),3,200)</f>
        <v>CAG-EGFP:+</v>
      </c>
      <c r="Q421" s="8" t="s">
        <v>47</v>
      </c>
      <c r="R421" s="8" t="s">
        <v>88</v>
      </c>
      <c r="S421" s="8"/>
      <c r="T421" s="8"/>
    </row>
    <row r="422" customFormat="false" ht="15" hidden="false" customHeight="false" outlineLevel="0" collapsed="false">
      <c r="A422" s="7" t="s">
        <v>700</v>
      </c>
      <c r="B422" s="8" t="s">
        <v>114</v>
      </c>
      <c r="C422" s="8" t="n">
        <v>17</v>
      </c>
      <c r="D422" s="8" t="s">
        <v>46</v>
      </c>
      <c r="E422" s="9" t="n">
        <v>45242</v>
      </c>
      <c r="F422" s="8" t="n">
        <f aca="true">IF(E422="","",ROUND((TODAY()-E422)/7,1))</f>
        <v>135</v>
      </c>
      <c r="G422" s="8" t="s">
        <v>38</v>
      </c>
      <c r="H422" s="8"/>
      <c r="I422" s="8" t="s">
        <v>698</v>
      </c>
      <c r="J422" s="8" t="s">
        <v>699</v>
      </c>
      <c r="K422" s="8" t="n">
        <v>2</v>
      </c>
      <c r="L422" s="10"/>
      <c r="M422" s="10"/>
      <c r="N422" s="10"/>
      <c r="O422" s="10" t="s">
        <v>73</v>
      </c>
      <c r="P422" s="8" t="str">
        <f aca="false">MID(IF(L422="","","; APP:"&amp;L422)&amp;IF(M422="","","; PS1:"&amp;M422)&amp;IF(N422="","","; AQP4:"&amp;N422)&amp;IF(O422="","","; CAG-EGFP:"&amp;O422),3,200)</f>
        <v>CAG-EGFP:+</v>
      </c>
      <c r="Q422" s="8" t="s">
        <v>47</v>
      </c>
      <c r="R422" s="8" t="s">
        <v>88</v>
      </c>
      <c r="S422" s="8"/>
      <c r="T422" s="8"/>
    </row>
    <row r="423" customFormat="false" ht="15" hidden="false" customHeight="false" outlineLevel="0" collapsed="false">
      <c r="A423" s="7" t="s">
        <v>701</v>
      </c>
      <c r="B423" s="8" t="s">
        <v>114</v>
      </c>
      <c r="C423" s="8" t="n">
        <v>18</v>
      </c>
      <c r="D423" s="8" t="s">
        <v>33</v>
      </c>
      <c r="E423" s="9" t="n">
        <v>45287</v>
      </c>
      <c r="F423" s="8" t="n">
        <f aca="true">IF(E423="","",ROUND((TODAY()-E423)/7,1))</f>
        <v>128.6</v>
      </c>
      <c r="G423" s="8" t="s">
        <v>38</v>
      </c>
      <c r="H423" s="8"/>
      <c r="I423" s="8" t="s">
        <v>691</v>
      </c>
      <c r="J423" s="8" t="s">
        <v>692</v>
      </c>
      <c r="K423" s="8" t="n">
        <v>2</v>
      </c>
      <c r="L423" s="10"/>
      <c r="M423" s="10"/>
      <c r="N423" s="10"/>
      <c r="O423" s="10" t="s">
        <v>73</v>
      </c>
      <c r="P423" s="8" t="str">
        <f aca="false">MID(IF(L423="","","; APP:"&amp;L423)&amp;IF(M423="","","; PS1:"&amp;M423)&amp;IF(N423="","","; AQP4:"&amp;N423)&amp;IF(O423="","","; CAG-EGFP:"&amp;O423),3,200)</f>
        <v>CAG-EGFP:+</v>
      </c>
      <c r="Q423" s="8" t="s">
        <v>47</v>
      </c>
      <c r="R423" s="8" t="s">
        <v>88</v>
      </c>
      <c r="S423" s="8"/>
      <c r="T423" s="8" t="s">
        <v>151</v>
      </c>
    </row>
    <row r="424" customFormat="false" ht="15" hidden="false" customHeight="false" outlineLevel="0" collapsed="false">
      <c r="A424" s="7" t="s">
        <v>702</v>
      </c>
      <c r="B424" s="8" t="s">
        <v>114</v>
      </c>
      <c r="C424" s="8" t="n">
        <v>19</v>
      </c>
      <c r="D424" s="8" t="s">
        <v>46</v>
      </c>
      <c r="E424" s="9" t="n">
        <v>45287</v>
      </c>
      <c r="F424" s="8" t="n">
        <f aca="true">IF(E424="","",ROUND((TODAY()-E424)/7,1))</f>
        <v>128.6</v>
      </c>
      <c r="G424" s="8" t="s">
        <v>38</v>
      </c>
      <c r="H424" s="8"/>
      <c r="I424" s="8" t="s">
        <v>691</v>
      </c>
      <c r="J424" s="8" t="s">
        <v>692</v>
      </c>
      <c r="K424" s="8" t="n">
        <v>2</v>
      </c>
      <c r="L424" s="10"/>
      <c r="M424" s="10"/>
      <c r="N424" s="10"/>
      <c r="O424" s="10" t="s">
        <v>73</v>
      </c>
      <c r="P424" s="8" t="str">
        <f aca="false">MID(IF(L424="","","; APP:"&amp;L424)&amp;IF(M424="","","; PS1:"&amp;M424)&amp;IF(N424="","","; AQP4:"&amp;N424)&amp;IF(O424="","","; CAG-EGFP:"&amp;O424),3,200)</f>
        <v>CAG-EGFP:+</v>
      </c>
      <c r="Q424" s="8" t="s">
        <v>47</v>
      </c>
      <c r="R424" s="8" t="s">
        <v>88</v>
      </c>
      <c r="S424" s="8"/>
      <c r="T424" s="8" t="s">
        <v>151</v>
      </c>
    </row>
    <row r="425" customFormat="false" ht="15" hidden="false" customHeight="false" outlineLevel="0" collapsed="false">
      <c r="A425" s="7" t="s">
        <v>703</v>
      </c>
      <c r="B425" s="8" t="s">
        <v>114</v>
      </c>
      <c r="C425" s="8" t="n">
        <v>20</v>
      </c>
      <c r="D425" s="8" t="s">
        <v>46</v>
      </c>
      <c r="E425" s="9" t="n">
        <v>45287</v>
      </c>
      <c r="F425" s="8" t="n">
        <f aca="true">IF(E425="","",ROUND((TODAY()-E425)/7,1))</f>
        <v>128.6</v>
      </c>
      <c r="G425" s="8" t="s">
        <v>38</v>
      </c>
      <c r="H425" s="8"/>
      <c r="I425" s="8" t="s">
        <v>691</v>
      </c>
      <c r="J425" s="8" t="s">
        <v>692</v>
      </c>
      <c r="K425" s="8" t="n">
        <v>2</v>
      </c>
      <c r="L425" s="10"/>
      <c r="M425" s="10"/>
      <c r="N425" s="10"/>
      <c r="O425" s="10" t="s">
        <v>73</v>
      </c>
      <c r="P425" s="8" t="str">
        <f aca="false">MID(IF(L425="","","; APP:"&amp;L425)&amp;IF(M425="","","; PS1:"&amp;M425)&amp;IF(N425="","","; AQP4:"&amp;N425)&amp;IF(O425="","","; CAG-EGFP:"&amp;O425),3,200)</f>
        <v>CAG-EGFP:+</v>
      </c>
      <c r="Q425" s="8" t="s">
        <v>47</v>
      </c>
      <c r="R425" s="8" t="s">
        <v>88</v>
      </c>
      <c r="S425" s="8"/>
      <c r="T425" s="8" t="s">
        <v>151</v>
      </c>
    </row>
    <row r="426" customFormat="false" ht="15" hidden="false" customHeight="false" outlineLevel="0" collapsed="false">
      <c r="A426" s="7" t="s">
        <v>704</v>
      </c>
      <c r="B426" s="8" t="s">
        <v>114</v>
      </c>
      <c r="C426" s="8" t="n">
        <v>21</v>
      </c>
      <c r="D426" s="8" t="s">
        <v>33</v>
      </c>
      <c r="E426" s="9" t="n">
        <v>45293</v>
      </c>
      <c r="F426" s="8" t="n">
        <f aca="true">IF(E426="","",ROUND((TODAY()-E426)/7,1))</f>
        <v>127.7</v>
      </c>
      <c r="G426" s="8" t="s">
        <v>38</v>
      </c>
      <c r="H426" s="8"/>
      <c r="I426" s="8" t="s">
        <v>698</v>
      </c>
      <c r="J426" s="8" t="s">
        <v>699</v>
      </c>
      <c r="K426" s="8" t="n">
        <v>2</v>
      </c>
      <c r="L426" s="10"/>
      <c r="M426" s="10"/>
      <c r="N426" s="10"/>
      <c r="O426" s="10" t="s">
        <v>73</v>
      </c>
      <c r="P426" s="8" t="str">
        <f aca="false">MID(IF(L426="","","; APP:"&amp;L426)&amp;IF(M426="","","; PS1:"&amp;M426)&amp;IF(N426="","","; AQP4:"&amp;N426)&amp;IF(O426="","","; CAG-EGFP:"&amp;O426),3,200)</f>
        <v>CAG-EGFP:+</v>
      </c>
      <c r="Q426" s="8" t="s">
        <v>47</v>
      </c>
      <c r="R426" s="8" t="s">
        <v>88</v>
      </c>
      <c r="S426" s="8"/>
      <c r="T426" s="8" t="s">
        <v>151</v>
      </c>
    </row>
    <row r="427" customFormat="false" ht="15" hidden="false" customHeight="false" outlineLevel="0" collapsed="false">
      <c r="A427" s="7" t="s">
        <v>705</v>
      </c>
      <c r="B427" s="8" t="s">
        <v>114</v>
      </c>
      <c r="C427" s="8" t="n">
        <v>22</v>
      </c>
      <c r="D427" s="8" t="s">
        <v>33</v>
      </c>
      <c r="E427" s="9" t="n">
        <v>45293</v>
      </c>
      <c r="F427" s="8" t="n">
        <f aca="true">IF(E427="","",ROUND((TODAY()-E427)/7,1))</f>
        <v>127.7</v>
      </c>
      <c r="G427" s="8" t="s">
        <v>38</v>
      </c>
      <c r="H427" s="8"/>
      <c r="I427" s="8" t="s">
        <v>698</v>
      </c>
      <c r="J427" s="8" t="s">
        <v>699</v>
      </c>
      <c r="K427" s="8" t="n">
        <v>2</v>
      </c>
      <c r="L427" s="10"/>
      <c r="M427" s="10"/>
      <c r="N427" s="10"/>
      <c r="O427" s="10" t="s">
        <v>73</v>
      </c>
      <c r="P427" s="8" t="str">
        <f aca="false">MID(IF(L427="","","; APP:"&amp;L427)&amp;IF(M427="","","; PS1:"&amp;M427)&amp;IF(N427="","","; AQP4:"&amp;N427)&amp;IF(O427="","","; CAG-EGFP:"&amp;O427),3,200)</f>
        <v>CAG-EGFP:+</v>
      </c>
      <c r="Q427" s="8" t="s">
        <v>47</v>
      </c>
      <c r="R427" s="8" t="s">
        <v>88</v>
      </c>
      <c r="S427" s="8"/>
      <c r="T427" s="8" t="s">
        <v>151</v>
      </c>
    </row>
    <row r="428" customFormat="false" ht="15" hidden="false" customHeight="false" outlineLevel="0" collapsed="false">
      <c r="A428" s="7" t="s">
        <v>706</v>
      </c>
      <c r="B428" s="8" t="s">
        <v>114</v>
      </c>
      <c r="C428" s="8" t="n">
        <v>23</v>
      </c>
      <c r="D428" s="8" t="s">
        <v>46</v>
      </c>
      <c r="E428" s="9" t="n">
        <v>45293</v>
      </c>
      <c r="F428" s="8" t="n">
        <f aca="true">IF(E428="","",ROUND((TODAY()-E428)/7,1))</f>
        <v>127.7</v>
      </c>
      <c r="G428" s="8" t="s">
        <v>38</v>
      </c>
      <c r="H428" s="8"/>
      <c r="I428" s="8" t="s">
        <v>698</v>
      </c>
      <c r="J428" s="8" t="s">
        <v>699</v>
      </c>
      <c r="K428" s="8" t="n">
        <v>2</v>
      </c>
      <c r="L428" s="10"/>
      <c r="M428" s="10"/>
      <c r="N428" s="10"/>
      <c r="O428" s="10" t="s">
        <v>73</v>
      </c>
      <c r="P428" s="8" t="str">
        <f aca="false">MID(IF(L428="","","; APP:"&amp;L428)&amp;IF(M428="","","; PS1:"&amp;M428)&amp;IF(N428="","","; AQP4:"&amp;N428)&amp;IF(O428="","","; CAG-EGFP:"&amp;O428),3,200)</f>
        <v>CAG-EGFP:+</v>
      </c>
      <c r="Q428" s="8" t="s">
        <v>47</v>
      </c>
      <c r="R428" s="8" t="s">
        <v>88</v>
      </c>
      <c r="S428" s="8"/>
      <c r="T428" s="8" t="s">
        <v>151</v>
      </c>
    </row>
    <row r="429" customFormat="false" ht="15" hidden="false" customHeight="false" outlineLevel="0" collapsed="false">
      <c r="A429" s="7" t="s">
        <v>707</v>
      </c>
      <c r="B429" s="8" t="s">
        <v>114</v>
      </c>
      <c r="C429" s="8" t="n">
        <v>24</v>
      </c>
      <c r="D429" s="8" t="s">
        <v>46</v>
      </c>
      <c r="E429" s="9" t="n">
        <v>45293</v>
      </c>
      <c r="F429" s="8" t="n">
        <f aca="true">IF(E429="","",ROUND((TODAY()-E429)/7,1))</f>
        <v>127.7</v>
      </c>
      <c r="G429" s="8" t="s">
        <v>38</v>
      </c>
      <c r="H429" s="8"/>
      <c r="I429" s="8" t="s">
        <v>698</v>
      </c>
      <c r="J429" s="8" t="s">
        <v>699</v>
      </c>
      <c r="K429" s="8" t="n">
        <v>2</v>
      </c>
      <c r="L429" s="10"/>
      <c r="M429" s="10"/>
      <c r="N429" s="10"/>
      <c r="O429" s="10" t="s">
        <v>73</v>
      </c>
      <c r="P429" s="8" t="str">
        <f aca="false">MID(IF(L429="","","; APP:"&amp;L429)&amp;IF(M429="","","; PS1:"&amp;M429)&amp;IF(N429="","","; AQP4:"&amp;N429)&amp;IF(O429="","","; CAG-EGFP:"&amp;O429),3,200)</f>
        <v>CAG-EGFP:+</v>
      </c>
      <c r="Q429" s="8" t="s">
        <v>47</v>
      </c>
      <c r="R429" s="8" t="s">
        <v>88</v>
      </c>
      <c r="S429" s="8"/>
      <c r="T429" s="8" t="s">
        <v>151</v>
      </c>
    </row>
    <row r="430" customFormat="false" ht="15" hidden="false" customHeight="false" outlineLevel="0" collapsed="false">
      <c r="A430" s="7" t="s">
        <v>708</v>
      </c>
      <c r="B430" s="8" t="s">
        <v>114</v>
      </c>
      <c r="C430" s="8" t="n">
        <v>25</v>
      </c>
      <c r="D430" s="8" t="s">
        <v>46</v>
      </c>
      <c r="E430" s="9" t="n">
        <v>45293</v>
      </c>
      <c r="F430" s="8" t="n">
        <f aca="true">IF(E430="","",ROUND((TODAY()-E430)/7,1))</f>
        <v>127.7</v>
      </c>
      <c r="G430" s="8" t="s">
        <v>38</v>
      </c>
      <c r="H430" s="8"/>
      <c r="I430" s="8" t="s">
        <v>698</v>
      </c>
      <c r="J430" s="8" t="s">
        <v>699</v>
      </c>
      <c r="K430" s="8" t="n">
        <v>2</v>
      </c>
      <c r="L430" s="10"/>
      <c r="M430" s="10"/>
      <c r="N430" s="10"/>
      <c r="O430" s="10" t="s">
        <v>73</v>
      </c>
      <c r="P430" s="8" t="str">
        <f aca="false">MID(IF(L430="","","; APP:"&amp;L430)&amp;IF(M430="","","; PS1:"&amp;M430)&amp;IF(N430="","","; AQP4:"&amp;N430)&amp;IF(O430="","","; CAG-EGFP:"&amp;O430),3,200)</f>
        <v>CAG-EGFP:+</v>
      </c>
      <c r="Q430" s="8" t="s">
        <v>47</v>
      </c>
      <c r="R430" s="8" t="s">
        <v>88</v>
      </c>
      <c r="S430" s="8"/>
      <c r="T430" s="8" t="s">
        <v>151</v>
      </c>
    </row>
    <row r="431" customFormat="false" ht="15" hidden="false" customHeight="false" outlineLevel="0" collapsed="false">
      <c r="A431" s="7" t="s">
        <v>709</v>
      </c>
      <c r="B431" s="8" t="s">
        <v>114</v>
      </c>
      <c r="C431" s="8" t="n">
        <v>26</v>
      </c>
      <c r="D431" s="8" t="s">
        <v>33</v>
      </c>
      <c r="E431" s="9" t="n">
        <v>45336</v>
      </c>
      <c r="F431" s="8" t="n">
        <f aca="true">IF(E431="","",ROUND((TODAY()-E431)/7,1))</f>
        <v>121.6</v>
      </c>
      <c r="G431" s="8" t="s">
        <v>38</v>
      </c>
      <c r="H431" s="8"/>
      <c r="I431" s="8" t="s">
        <v>691</v>
      </c>
      <c r="J431" s="8" t="s">
        <v>692</v>
      </c>
      <c r="K431" s="8" t="n">
        <v>2</v>
      </c>
      <c r="L431" s="10"/>
      <c r="M431" s="10"/>
      <c r="N431" s="10"/>
      <c r="O431" s="10" t="s">
        <v>73</v>
      </c>
      <c r="P431" s="8" t="str">
        <f aca="false">MID(IF(L431="","","; APP:"&amp;L431)&amp;IF(M431="","","; PS1:"&amp;M431)&amp;IF(N431="","","; AQP4:"&amp;N431)&amp;IF(O431="","","; CAG-EGFP:"&amp;O431),3,200)</f>
        <v>CAG-EGFP:+</v>
      </c>
      <c r="Q431" s="8" t="s">
        <v>47</v>
      </c>
      <c r="R431" s="8" t="s">
        <v>88</v>
      </c>
      <c r="S431" s="8"/>
      <c r="T431" s="8" t="s">
        <v>151</v>
      </c>
    </row>
    <row r="432" customFormat="false" ht="15" hidden="false" customHeight="false" outlineLevel="0" collapsed="false">
      <c r="A432" s="7" t="s">
        <v>710</v>
      </c>
      <c r="B432" s="8" t="s">
        <v>114</v>
      </c>
      <c r="C432" s="8" t="n">
        <v>27</v>
      </c>
      <c r="D432" s="8" t="s">
        <v>33</v>
      </c>
      <c r="E432" s="9" t="n">
        <v>45336</v>
      </c>
      <c r="F432" s="8" t="n">
        <f aca="true">IF(E432="","",ROUND((TODAY()-E432)/7,1))</f>
        <v>121.6</v>
      </c>
      <c r="G432" s="8" t="s">
        <v>38</v>
      </c>
      <c r="H432" s="8"/>
      <c r="I432" s="8" t="s">
        <v>691</v>
      </c>
      <c r="J432" s="8" t="s">
        <v>692</v>
      </c>
      <c r="K432" s="8" t="n">
        <v>2</v>
      </c>
      <c r="L432" s="10"/>
      <c r="M432" s="10"/>
      <c r="N432" s="10"/>
      <c r="O432" s="10" t="s">
        <v>73</v>
      </c>
      <c r="P432" s="8" t="str">
        <f aca="false">MID(IF(L432="","","; APP:"&amp;L432)&amp;IF(M432="","","; PS1:"&amp;M432)&amp;IF(N432="","","; AQP4:"&amp;N432)&amp;IF(O432="","","; CAG-EGFP:"&amp;O432),3,200)</f>
        <v>CAG-EGFP:+</v>
      </c>
      <c r="Q432" s="8" t="s">
        <v>47</v>
      </c>
      <c r="R432" s="8" t="s">
        <v>88</v>
      </c>
      <c r="S432" s="8"/>
      <c r="T432" s="8" t="s">
        <v>151</v>
      </c>
    </row>
    <row r="433" customFormat="false" ht="15" hidden="false" customHeight="false" outlineLevel="0" collapsed="false">
      <c r="A433" s="7" t="s">
        <v>711</v>
      </c>
      <c r="B433" s="8" t="s">
        <v>114</v>
      </c>
      <c r="C433" s="8" t="n">
        <v>28</v>
      </c>
      <c r="D433" s="8" t="s">
        <v>33</v>
      </c>
      <c r="E433" s="9" t="n">
        <v>45336</v>
      </c>
      <c r="F433" s="8" t="n">
        <f aca="true">IF(E433="","",ROUND((TODAY()-E433)/7,1))</f>
        <v>121.6</v>
      </c>
      <c r="G433" s="8" t="s">
        <v>38</v>
      </c>
      <c r="H433" s="8"/>
      <c r="I433" s="8" t="s">
        <v>691</v>
      </c>
      <c r="J433" s="8" t="s">
        <v>692</v>
      </c>
      <c r="K433" s="8" t="n">
        <v>2</v>
      </c>
      <c r="L433" s="10"/>
      <c r="M433" s="10"/>
      <c r="N433" s="10"/>
      <c r="O433" s="10" t="s">
        <v>73</v>
      </c>
      <c r="P433" s="8" t="str">
        <f aca="false">MID(IF(L433="","","; APP:"&amp;L433)&amp;IF(M433="","","; PS1:"&amp;M433)&amp;IF(N433="","","; AQP4:"&amp;N433)&amp;IF(O433="","","; CAG-EGFP:"&amp;O433),3,200)</f>
        <v>CAG-EGFP:+</v>
      </c>
      <c r="Q433" s="8" t="s">
        <v>47</v>
      </c>
      <c r="R433" s="8" t="s">
        <v>88</v>
      </c>
      <c r="S433" s="8"/>
      <c r="T433" s="8" t="s">
        <v>151</v>
      </c>
    </row>
    <row r="434" customFormat="false" ht="17.15" hidden="false" customHeight="false" outlineLevel="0" collapsed="false">
      <c r="A434" s="7" t="s">
        <v>712</v>
      </c>
      <c r="B434" s="8" t="s">
        <v>114</v>
      </c>
      <c r="C434" s="8" t="n">
        <v>29</v>
      </c>
      <c r="D434" s="8" t="s">
        <v>33</v>
      </c>
      <c r="E434" s="9" t="n">
        <v>45357</v>
      </c>
      <c r="F434" s="8" t="n">
        <f aca="true">IF(E434="","",ROUND((TODAY()-E434)/7,1))</f>
        <v>118.6</v>
      </c>
      <c r="G434" s="8" t="s">
        <v>38</v>
      </c>
      <c r="H434" s="8"/>
      <c r="I434" s="8" t="s">
        <v>713</v>
      </c>
      <c r="J434" s="8" t="s">
        <v>714</v>
      </c>
      <c r="K434" s="8" t="n">
        <v>3</v>
      </c>
      <c r="L434" s="10"/>
      <c r="M434" s="10"/>
      <c r="N434" s="10"/>
      <c r="O434" s="10" t="s">
        <v>73</v>
      </c>
      <c r="P434" s="8" t="str">
        <f aca="false">MID(IF(L434="","","; APP:"&amp;L434)&amp;IF(M434="","","; PS1:"&amp;M434)&amp;IF(N434="","","; AQP4:"&amp;N434)&amp;IF(O434="","","; CAG-EGFP:"&amp;O434),3,200)</f>
        <v>CAG-EGFP:+</v>
      </c>
      <c r="Q434" s="8" t="s">
        <v>47</v>
      </c>
      <c r="R434" s="8" t="s">
        <v>88</v>
      </c>
      <c r="S434" s="8"/>
      <c r="T434" s="11" t="s">
        <v>715</v>
      </c>
    </row>
    <row r="435" customFormat="false" ht="17.15" hidden="false" customHeight="false" outlineLevel="0" collapsed="false">
      <c r="A435" s="7" t="s">
        <v>716</v>
      </c>
      <c r="B435" s="8" t="s">
        <v>114</v>
      </c>
      <c r="C435" s="8" t="n">
        <v>30</v>
      </c>
      <c r="D435" s="8" t="s">
        <v>33</v>
      </c>
      <c r="E435" s="9" t="n">
        <v>45357</v>
      </c>
      <c r="F435" s="8" t="n">
        <f aca="true">IF(E435="","",ROUND((TODAY()-E435)/7,1))</f>
        <v>118.6</v>
      </c>
      <c r="G435" s="8" t="s">
        <v>38</v>
      </c>
      <c r="H435" s="8"/>
      <c r="I435" s="8" t="s">
        <v>713</v>
      </c>
      <c r="J435" s="8" t="s">
        <v>714</v>
      </c>
      <c r="K435" s="8" t="n">
        <v>3</v>
      </c>
      <c r="L435" s="10"/>
      <c r="M435" s="10"/>
      <c r="N435" s="10"/>
      <c r="O435" s="10" t="s">
        <v>73</v>
      </c>
      <c r="P435" s="8" t="str">
        <f aca="false">MID(IF(L435="","","; APP:"&amp;L435)&amp;IF(M435="","","; PS1:"&amp;M435)&amp;IF(N435="","","; AQP4:"&amp;N435)&amp;IF(O435="","","; CAG-EGFP:"&amp;O435),3,200)</f>
        <v>CAG-EGFP:+</v>
      </c>
      <c r="Q435" s="8" t="s">
        <v>47</v>
      </c>
      <c r="R435" s="8" t="s">
        <v>88</v>
      </c>
      <c r="S435" s="8"/>
      <c r="T435" s="11" t="s">
        <v>715</v>
      </c>
    </row>
    <row r="436" customFormat="false" ht="17.15" hidden="false" customHeight="false" outlineLevel="0" collapsed="false">
      <c r="A436" s="7" t="s">
        <v>717</v>
      </c>
      <c r="B436" s="8" t="s">
        <v>114</v>
      </c>
      <c r="C436" s="8" t="n">
        <v>31</v>
      </c>
      <c r="D436" s="8" t="s">
        <v>33</v>
      </c>
      <c r="E436" s="9" t="n">
        <v>45357</v>
      </c>
      <c r="F436" s="8" t="n">
        <f aca="true">IF(E436="","",ROUND((TODAY()-E436)/7,1))</f>
        <v>118.6</v>
      </c>
      <c r="G436" s="8" t="s">
        <v>38</v>
      </c>
      <c r="H436" s="8"/>
      <c r="I436" s="8" t="s">
        <v>713</v>
      </c>
      <c r="J436" s="8" t="s">
        <v>714</v>
      </c>
      <c r="K436" s="8" t="n">
        <v>3</v>
      </c>
      <c r="L436" s="10"/>
      <c r="M436" s="10"/>
      <c r="N436" s="10"/>
      <c r="O436" s="10" t="s">
        <v>73</v>
      </c>
      <c r="P436" s="8" t="str">
        <f aca="false">MID(IF(L436="","","; APP:"&amp;L436)&amp;IF(M436="","","; PS1:"&amp;M436)&amp;IF(N436="","","; AQP4:"&amp;N436)&amp;IF(O436="","","; CAG-EGFP:"&amp;O436),3,200)</f>
        <v>CAG-EGFP:+</v>
      </c>
      <c r="Q436" s="8" t="s">
        <v>47</v>
      </c>
      <c r="R436" s="8" t="s">
        <v>88</v>
      </c>
      <c r="S436" s="8"/>
      <c r="T436" s="11" t="s">
        <v>715</v>
      </c>
    </row>
    <row r="437" customFormat="false" ht="17.15" hidden="false" customHeight="false" outlineLevel="0" collapsed="false">
      <c r="A437" s="7" t="s">
        <v>718</v>
      </c>
      <c r="B437" s="8" t="s">
        <v>114</v>
      </c>
      <c r="C437" s="8" t="n">
        <v>32</v>
      </c>
      <c r="D437" s="8" t="s">
        <v>33</v>
      </c>
      <c r="E437" s="9" t="n">
        <v>45357</v>
      </c>
      <c r="F437" s="8" t="n">
        <f aca="true">IF(E437="","",ROUND((TODAY()-E437)/7,1))</f>
        <v>118.6</v>
      </c>
      <c r="G437" s="8" t="s">
        <v>38</v>
      </c>
      <c r="H437" s="8"/>
      <c r="I437" s="8" t="s">
        <v>713</v>
      </c>
      <c r="J437" s="8" t="s">
        <v>714</v>
      </c>
      <c r="K437" s="8" t="n">
        <v>3</v>
      </c>
      <c r="L437" s="10"/>
      <c r="M437" s="10"/>
      <c r="N437" s="10"/>
      <c r="O437" s="10" t="s">
        <v>73</v>
      </c>
      <c r="P437" s="8" t="str">
        <f aca="false">MID(IF(L437="","","; APP:"&amp;L437)&amp;IF(M437="","","; PS1:"&amp;M437)&amp;IF(N437="","","; AQP4:"&amp;N437)&amp;IF(O437="","","; CAG-EGFP:"&amp;O437),3,200)</f>
        <v>CAG-EGFP:+</v>
      </c>
      <c r="Q437" s="8" t="s">
        <v>47</v>
      </c>
      <c r="R437" s="8" t="s">
        <v>88</v>
      </c>
      <c r="S437" s="8"/>
      <c r="T437" s="11" t="s">
        <v>715</v>
      </c>
    </row>
    <row r="438" customFormat="false" ht="17.15" hidden="false" customHeight="false" outlineLevel="0" collapsed="false">
      <c r="A438" s="7" t="s">
        <v>719</v>
      </c>
      <c r="B438" s="8" t="s">
        <v>114</v>
      </c>
      <c r="C438" s="8" t="n">
        <v>33</v>
      </c>
      <c r="D438" s="8" t="s">
        <v>46</v>
      </c>
      <c r="E438" s="9" t="n">
        <v>45357</v>
      </c>
      <c r="F438" s="8" t="n">
        <f aca="true">IF(E438="","",ROUND((TODAY()-E438)/7,1))</f>
        <v>118.6</v>
      </c>
      <c r="G438" s="8" t="s">
        <v>38</v>
      </c>
      <c r="H438" s="8"/>
      <c r="I438" s="8" t="s">
        <v>713</v>
      </c>
      <c r="J438" s="8" t="s">
        <v>714</v>
      </c>
      <c r="K438" s="8" t="n">
        <v>3</v>
      </c>
      <c r="L438" s="10"/>
      <c r="M438" s="10"/>
      <c r="N438" s="10"/>
      <c r="O438" s="10" t="s">
        <v>73</v>
      </c>
      <c r="P438" s="8" t="str">
        <f aca="false">MID(IF(L438="","","; APP:"&amp;L438)&amp;IF(M438="","","; PS1:"&amp;M438)&amp;IF(N438="","","; AQP4:"&amp;N438)&amp;IF(O438="","","; CAG-EGFP:"&amp;O438),3,200)</f>
        <v>CAG-EGFP:+</v>
      </c>
      <c r="Q438" s="8" t="s">
        <v>47</v>
      </c>
      <c r="R438" s="8" t="s">
        <v>88</v>
      </c>
      <c r="S438" s="8"/>
      <c r="T438" s="11" t="s">
        <v>715</v>
      </c>
    </row>
    <row r="439" customFormat="false" ht="17.15" hidden="false" customHeight="false" outlineLevel="0" collapsed="false">
      <c r="A439" s="7" t="s">
        <v>720</v>
      </c>
      <c r="B439" s="8" t="s">
        <v>114</v>
      </c>
      <c r="C439" s="8" t="n">
        <v>34</v>
      </c>
      <c r="D439" s="8" t="s">
        <v>33</v>
      </c>
      <c r="E439" s="9" t="n">
        <v>45359</v>
      </c>
      <c r="F439" s="8" t="n">
        <f aca="true">IF(E439="","",ROUND((TODAY()-E439)/7,1))</f>
        <v>118.3</v>
      </c>
      <c r="G439" s="8" t="s">
        <v>38</v>
      </c>
      <c r="H439" s="8"/>
      <c r="I439" s="8" t="s">
        <v>721</v>
      </c>
      <c r="J439" s="8" t="s">
        <v>722</v>
      </c>
      <c r="K439" s="8" t="n">
        <v>3</v>
      </c>
      <c r="L439" s="10"/>
      <c r="M439" s="10"/>
      <c r="N439" s="10"/>
      <c r="O439" s="10" t="s">
        <v>73</v>
      </c>
      <c r="P439" s="8" t="str">
        <f aca="false">MID(IF(L439="","","; APP:"&amp;L439)&amp;IF(M439="","","; PS1:"&amp;M439)&amp;IF(N439="","","; AQP4:"&amp;N439)&amp;IF(O439="","","; CAG-EGFP:"&amp;O439),3,200)</f>
        <v>CAG-EGFP:+</v>
      </c>
      <c r="Q439" s="8" t="s">
        <v>47</v>
      </c>
      <c r="R439" s="8" t="s">
        <v>88</v>
      </c>
      <c r="S439" s="8"/>
      <c r="T439" s="11" t="s">
        <v>715</v>
      </c>
    </row>
    <row r="440" customFormat="false" ht="17.15" hidden="false" customHeight="false" outlineLevel="0" collapsed="false">
      <c r="A440" s="7" t="s">
        <v>723</v>
      </c>
      <c r="B440" s="8" t="s">
        <v>114</v>
      </c>
      <c r="C440" s="8" t="n">
        <v>35</v>
      </c>
      <c r="D440" s="8" t="s">
        <v>33</v>
      </c>
      <c r="E440" s="9" t="n">
        <v>45359</v>
      </c>
      <c r="F440" s="8" t="n">
        <f aca="true">IF(E440="","",ROUND((TODAY()-E440)/7,1))</f>
        <v>118.3</v>
      </c>
      <c r="G440" s="8" t="s">
        <v>38</v>
      </c>
      <c r="H440" s="8"/>
      <c r="I440" s="8" t="s">
        <v>721</v>
      </c>
      <c r="J440" s="8" t="s">
        <v>722</v>
      </c>
      <c r="K440" s="8" t="n">
        <v>3</v>
      </c>
      <c r="L440" s="10"/>
      <c r="M440" s="10"/>
      <c r="N440" s="10"/>
      <c r="O440" s="10" t="s">
        <v>73</v>
      </c>
      <c r="P440" s="8" t="str">
        <f aca="false">MID(IF(L440="","","; APP:"&amp;L440)&amp;IF(M440="","","; PS1:"&amp;M440)&amp;IF(N440="","","; AQP4:"&amp;N440)&amp;IF(O440="","","; CAG-EGFP:"&amp;O440),3,200)</f>
        <v>CAG-EGFP:+</v>
      </c>
      <c r="Q440" s="8" t="s">
        <v>47</v>
      </c>
      <c r="R440" s="8" t="s">
        <v>88</v>
      </c>
      <c r="S440" s="8"/>
      <c r="T440" s="11" t="s">
        <v>715</v>
      </c>
    </row>
    <row r="441" customFormat="false" ht="17.15" hidden="false" customHeight="false" outlineLevel="0" collapsed="false">
      <c r="A441" s="7" t="s">
        <v>724</v>
      </c>
      <c r="B441" s="8" t="s">
        <v>114</v>
      </c>
      <c r="C441" s="8" t="n">
        <v>36</v>
      </c>
      <c r="D441" s="8" t="s">
        <v>46</v>
      </c>
      <c r="E441" s="9" t="n">
        <v>45359</v>
      </c>
      <c r="F441" s="8" t="n">
        <f aca="true">IF(E441="","",ROUND((TODAY()-E441)/7,1))</f>
        <v>118.3</v>
      </c>
      <c r="G441" s="8" t="s">
        <v>38</v>
      </c>
      <c r="H441" s="8"/>
      <c r="I441" s="8" t="s">
        <v>721</v>
      </c>
      <c r="J441" s="8" t="s">
        <v>722</v>
      </c>
      <c r="K441" s="8" t="n">
        <v>3</v>
      </c>
      <c r="L441" s="10"/>
      <c r="M441" s="10"/>
      <c r="N441" s="10"/>
      <c r="O441" s="10" t="s">
        <v>73</v>
      </c>
      <c r="P441" s="8" t="str">
        <f aca="false">MID(IF(L441="","","; APP:"&amp;L441)&amp;IF(M441="","","; PS1:"&amp;M441)&amp;IF(N441="","","; AQP4:"&amp;N441)&amp;IF(O441="","","; CAG-EGFP:"&amp;O441),3,200)</f>
        <v>CAG-EGFP:+</v>
      </c>
      <c r="Q441" s="8" t="s">
        <v>47</v>
      </c>
      <c r="R441" s="8" t="s">
        <v>88</v>
      </c>
      <c r="S441" s="8"/>
      <c r="T441" s="11" t="s">
        <v>715</v>
      </c>
    </row>
    <row r="442" customFormat="false" ht="15" hidden="false" customHeight="false" outlineLevel="0" collapsed="false">
      <c r="A442" s="7" t="s">
        <v>725</v>
      </c>
      <c r="B442" s="8" t="s">
        <v>114</v>
      </c>
      <c r="C442" s="8" t="n">
        <v>37</v>
      </c>
      <c r="D442" s="8" t="s">
        <v>33</v>
      </c>
      <c r="E442" s="9" t="n">
        <v>45385</v>
      </c>
      <c r="F442" s="8" t="n">
        <f aca="true">IF(E442="","",ROUND((TODAY()-E442)/7,1))</f>
        <v>114.6</v>
      </c>
      <c r="G442" s="8" t="s">
        <v>38</v>
      </c>
      <c r="H442" s="8"/>
      <c r="I442" s="8" t="s">
        <v>626</v>
      </c>
      <c r="J442" s="8" t="s">
        <v>626</v>
      </c>
      <c r="K442" s="8" t="n">
        <v>4</v>
      </c>
      <c r="L442" s="10"/>
      <c r="M442" s="10"/>
      <c r="N442" s="10"/>
      <c r="O442" s="10" t="s">
        <v>73</v>
      </c>
      <c r="P442" s="8" t="str">
        <f aca="false">MID(IF(L442="","","; APP:"&amp;L442)&amp;IF(M442="","","; PS1:"&amp;M442)&amp;IF(N442="","","; AQP4:"&amp;N442)&amp;IF(O442="","","; CAG-EGFP:"&amp;O442),3,200)</f>
        <v>CAG-EGFP:+</v>
      </c>
      <c r="Q442" s="8" t="s">
        <v>47</v>
      </c>
      <c r="R442" s="8" t="s">
        <v>88</v>
      </c>
      <c r="S442" s="8"/>
      <c r="T442" s="8"/>
    </row>
    <row r="443" customFormat="false" ht="15" hidden="false" customHeight="false" outlineLevel="0" collapsed="false">
      <c r="A443" s="7" t="s">
        <v>726</v>
      </c>
      <c r="B443" s="8" t="s">
        <v>114</v>
      </c>
      <c r="C443" s="8" t="n">
        <v>38</v>
      </c>
      <c r="D443" s="8" t="s">
        <v>46</v>
      </c>
      <c r="E443" s="9" t="n">
        <v>45385</v>
      </c>
      <c r="F443" s="8" t="n">
        <f aca="true">IF(E443="","",ROUND((TODAY()-E443)/7,1))</f>
        <v>114.6</v>
      </c>
      <c r="G443" s="8" t="s">
        <v>38</v>
      </c>
      <c r="H443" s="8"/>
      <c r="I443" s="8" t="s">
        <v>626</v>
      </c>
      <c r="J443" s="8" t="s">
        <v>626</v>
      </c>
      <c r="K443" s="8" t="n">
        <v>4</v>
      </c>
      <c r="L443" s="10"/>
      <c r="M443" s="10"/>
      <c r="N443" s="10"/>
      <c r="O443" s="10" t="s">
        <v>73</v>
      </c>
      <c r="P443" s="8" t="str">
        <f aca="false">MID(IF(L443="","","; APP:"&amp;L443)&amp;IF(M443="","","; PS1:"&amp;M443)&amp;IF(N443="","","; AQP4:"&amp;N443)&amp;IF(O443="","","; CAG-EGFP:"&amp;O443),3,200)</f>
        <v>CAG-EGFP:+</v>
      </c>
      <c r="Q443" s="8" t="s">
        <v>47</v>
      </c>
      <c r="R443" s="8" t="s">
        <v>88</v>
      </c>
      <c r="S443" s="8"/>
      <c r="T443" s="8"/>
    </row>
    <row r="444" customFormat="false" ht="15" hidden="false" customHeight="false" outlineLevel="0" collapsed="false">
      <c r="A444" s="7" t="s">
        <v>727</v>
      </c>
      <c r="B444" s="8" t="s">
        <v>114</v>
      </c>
      <c r="C444" s="8" t="n">
        <v>39</v>
      </c>
      <c r="D444" s="8" t="s">
        <v>46</v>
      </c>
      <c r="E444" s="9" t="n">
        <v>45385</v>
      </c>
      <c r="F444" s="8" t="n">
        <f aca="true">IF(E444="","",ROUND((TODAY()-E444)/7,1))</f>
        <v>114.6</v>
      </c>
      <c r="G444" s="8" t="s">
        <v>38</v>
      </c>
      <c r="H444" s="8"/>
      <c r="I444" s="8" t="s">
        <v>626</v>
      </c>
      <c r="J444" s="8" t="s">
        <v>626</v>
      </c>
      <c r="K444" s="8" t="n">
        <v>4</v>
      </c>
      <c r="L444" s="10"/>
      <c r="M444" s="10"/>
      <c r="N444" s="10"/>
      <c r="O444" s="10" t="s">
        <v>73</v>
      </c>
      <c r="P444" s="8" t="str">
        <f aca="false">MID(IF(L444="","","; APP:"&amp;L444)&amp;IF(M444="","","; PS1:"&amp;M444)&amp;IF(N444="","","; AQP4:"&amp;N444)&amp;IF(O444="","","; CAG-EGFP:"&amp;O444),3,200)</f>
        <v>CAG-EGFP:+</v>
      </c>
      <c r="Q444" s="8" t="s">
        <v>47</v>
      </c>
      <c r="R444" s="8" t="s">
        <v>88</v>
      </c>
      <c r="S444" s="8"/>
      <c r="T444" s="8"/>
    </row>
    <row r="445" customFormat="false" ht="15" hidden="false" customHeight="false" outlineLevel="0" collapsed="false">
      <c r="A445" s="7" t="s">
        <v>728</v>
      </c>
      <c r="B445" s="8" t="s">
        <v>114</v>
      </c>
      <c r="C445" s="8" t="n">
        <v>40</v>
      </c>
      <c r="D445" s="8" t="s">
        <v>46</v>
      </c>
      <c r="E445" s="9" t="n">
        <v>45385</v>
      </c>
      <c r="F445" s="8" t="n">
        <f aca="true">IF(E445="","",ROUND((TODAY()-E445)/7,1))</f>
        <v>114.6</v>
      </c>
      <c r="G445" s="8" t="s">
        <v>38</v>
      </c>
      <c r="H445" s="8"/>
      <c r="I445" s="8" t="s">
        <v>626</v>
      </c>
      <c r="J445" s="8" t="s">
        <v>626</v>
      </c>
      <c r="K445" s="8" t="n">
        <v>4</v>
      </c>
      <c r="L445" s="10"/>
      <c r="M445" s="10"/>
      <c r="N445" s="10"/>
      <c r="O445" s="10" t="s">
        <v>73</v>
      </c>
      <c r="P445" s="8" t="str">
        <f aca="false">MID(IF(L445="","","; APP:"&amp;L445)&amp;IF(M445="","","; PS1:"&amp;M445)&amp;IF(N445="","","; AQP4:"&amp;N445)&amp;IF(O445="","","; CAG-EGFP:"&amp;O445),3,200)</f>
        <v>CAG-EGFP:+</v>
      </c>
      <c r="Q445" s="8" t="s">
        <v>47</v>
      </c>
      <c r="R445" s="8" t="s">
        <v>88</v>
      </c>
      <c r="S445" s="8"/>
      <c r="T445" s="8"/>
    </row>
    <row r="446" customFormat="false" ht="15" hidden="false" customHeight="false" outlineLevel="0" collapsed="false">
      <c r="A446" s="7" t="s">
        <v>729</v>
      </c>
      <c r="B446" s="8" t="s">
        <v>114</v>
      </c>
      <c r="C446" s="8" t="n">
        <v>41</v>
      </c>
      <c r="D446" s="8" t="s">
        <v>33</v>
      </c>
      <c r="E446" s="9" t="n">
        <v>45420</v>
      </c>
      <c r="F446" s="8" t="n">
        <f aca="true">IF(E446="","",ROUND((TODAY()-E446)/7,1))</f>
        <v>109.6</v>
      </c>
      <c r="G446" s="8" t="s">
        <v>38</v>
      </c>
      <c r="H446" s="8"/>
      <c r="I446" s="8" t="s">
        <v>626</v>
      </c>
      <c r="J446" s="8" t="s">
        <v>626</v>
      </c>
      <c r="K446" s="8" t="n">
        <v>4</v>
      </c>
      <c r="L446" s="10"/>
      <c r="M446" s="10"/>
      <c r="N446" s="10"/>
      <c r="O446" s="10" t="s">
        <v>73</v>
      </c>
      <c r="P446" s="8" t="str">
        <f aca="false">MID(IF(L446="","","; APP:"&amp;L446)&amp;IF(M446="","","; PS1:"&amp;M446)&amp;IF(N446="","","; AQP4:"&amp;N446)&amp;IF(O446="","","; CAG-EGFP:"&amp;O446),3,200)</f>
        <v>CAG-EGFP:+</v>
      </c>
      <c r="Q446" s="8" t="s">
        <v>47</v>
      </c>
      <c r="R446" s="8" t="s">
        <v>88</v>
      </c>
      <c r="S446" s="8"/>
      <c r="T446" s="8" t="s">
        <v>151</v>
      </c>
    </row>
    <row r="447" customFormat="false" ht="15" hidden="false" customHeight="false" outlineLevel="0" collapsed="false">
      <c r="A447" s="7" t="s">
        <v>730</v>
      </c>
      <c r="B447" s="8" t="s">
        <v>114</v>
      </c>
      <c r="C447" s="8" t="n">
        <v>42</v>
      </c>
      <c r="D447" s="8" t="s">
        <v>33</v>
      </c>
      <c r="E447" s="9" t="n">
        <v>45420</v>
      </c>
      <c r="F447" s="8" t="n">
        <f aca="true">IF(E447="","",ROUND((TODAY()-E447)/7,1))</f>
        <v>109.6</v>
      </c>
      <c r="G447" s="8" t="s">
        <v>38</v>
      </c>
      <c r="H447" s="8"/>
      <c r="I447" s="8" t="s">
        <v>626</v>
      </c>
      <c r="J447" s="8" t="s">
        <v>626</v>
      </c>
      <c r="K447" s="8" t="n">
        <v>4</v>
      </c>
      <c r="L447" s="10"/>
      <c r="M447" s="10"/>
      <c r="N447" s="10"/>
      <c r="O447" s="10" t="s">
        <v>73</v>
      </c>
      <c r="P447" s="8" t="str">
        <f aca="false">MID(IF(L447="","","; APP:"&amp;L447)&amp;IF(M447="","","; PS1:"&amp;M447)&amp;IF(N447="","","; AQP4:"&amp;N447)&amp;IF(O447="","","; CAG-EGFP:"&amp;O447),3,200)</f>
        <v>CAG-EGFP:+</v>
      </c>
      <c r="Q447" s="8" t="s">
        <v>47</v>
      </c>
      <c r="R447" s="8" t="s">
        <v>88</v>
      </c>
      <c r="S447" s="8"/>
      <c r="T447" s="8" t="s">
        <v>151</v>
      </c>
    </row>
    <row r="448" customFormat="false" ht="15" hidden="false" customHeight="false" outlineLevel="0" collapsed="false">
      <c r="A448" s="7" t="s">
        <v>731</v>
      </c>
      <c r="B448" s="8" t="s">
        <v>114</v>
      </c>
      <c r="C448" s="8" t="n">
        <v>43</v>
      </c>
      <c r="D448" s="8" t="s">
        <v>33</v>
      </c>
      <c r="E448" s="9" t="n">
        <v>45420</v>
      </c>
      <c r="F448" s="8" t="n">
        <f aca="true">IF(E448="","",ROUND((TODAY()-E448)/7,1))</f>
        <v>109.6</v>
      </c>
      <c r="G448" s="8" t="s">
        <v>38</v>
      </c>
      <c r="H448" s="8"/>
      <c r="I448" s="8" t="s">
        <v>626</v>
      </c>
      <c r="J448" s="8" t="s">
        <v>626</v>
      </c>
      <c r="K448" s="8" t="n">
        <v>4</v>
      </c>
      <c r="L448" s="10"/>
      <c r="M448" s="10"/>
      <c r="N448" s="10"/>
      <c r="O448" s="10" t="s">
        <v>73</v>
      </c>
      <c r="P448" s="8" t="str">
        <f aca="false">MID(IF(L448="","","; APP:"&amp;L448)&amp;IF(M448="","","; PS1:"&amp;M448)&amp;IF(N448="","","; AQP4:"&amp;N448)&amp;IF(O448="","","; CAG-EGFP:"&amp;O448),3,200)</f>
        <v>CAG-EGFP:+</v>
      </c>
      <c r="Q448" s="8" t="s">
        <v>47</v>
      </c>
      <c r="R448" s="8" t="s">
        <v>88</v>
      </c>
      <c r="S448" s="8"/>
      <c r="T448" s="8" t="s">
        <v>151</v>
      </c>
    </row>
    <row r="449" customFormat="false" ht="15" hidden="false" customHeight="false" outlineLevel="0" collapsed="false">
      <c r="A449" s="7" t="s">
        <v>732</v>
      </c>
      <c r="B449" s="8" t="s">
        <v>114</v>
      </c>
      <c r="C449" s="8" t="n">
        <v>44</v>
      </c>
      <c r="D449" s="8" t="s">
        <v>33</v>
      </c>
      <c r="E449" s="9" t="n">
        <v>45420</v>
      </c>
      <c r="F449" s="8" t="n">
        <f aca="true">IF(E449="","",ROUND((TODAY()-E449)/7,1))</f>
        <v>109.6</v>
      </c>
      <c r="G449" s="8" t="s">
        <v>38</v>
      </c>
      <c r="H449" s="8"/>
      <c r="I449" s="8" t="s">
        <v>626</v>
      </c>
      <c r="J449" s="8" t="s">
        <v>626</v>
      </c>
      <c r="K449" s="8" t="n">
        <v>4</v>
      </c>
      <c r="L449" s="10"/>
      <c r="M449" s="10"/>
      <c r="N449" s="10"/>
      <c r="O449" s="10" t="s">
        <v>73</v>
      </c>
      <c r="P449" s="8" t="str">
        <f aca="false">MID(IF(L449="","","; APP:"&amp;L449)&amp;IF(M449="","","; PS1:"&amp;M449)&amp;IF(N449="","","; AQP4:"&amp;N449)&amp;IF(O449="","","; CAG-EGFP:"&amp;O449),3,200)</f>
        <v>CAG-EGFP:+</v>
      </c>
      <c r="Q449" s="8" t="s">
        <v>47</v>
      </c>
      <c r="R449" s="8" t="s">
        <v>88</v>
      </c>
      <c r="S449" s="8"/>
      <c r="T449" s="8" t="s">
        <v>151</v>
      </c>
    </row>
    <row r="450" customFormat="false" ht="15" hidden="false" customHeight="false" outlineLevel="0" collapsed="false">
      <c r="A450" s="7" t="s">
        <v>733</v>
      </c>
      <c r="B450" s="8" t="s">
        <v>114</v>
      </c>
      <c r="C450" s="8" t="n">
        <v>45</v>
      </c>
      <c r="D450" s="8" t="s">
        <v>33</v>
      </c>
      <c r="E450" s="9" t="n">
        <v>45420</v>
      </c>
      <c r="F450" s="8" t="n">
        <f aca="true">IF(E450="","",ROUND((TODAY()-E450)/7,1))</f>
        <v>109.6</v>
      </c>
      <c r="G450" s="8" t="s">
        <v>38</v>
      </c>
      <c r="H450" s="8"/>
      <c r="I450" s="8" t="s">
        <v>626</v>
      </c>
      <c r="J450" s="8" t="s">
        <v>626</v>
      </c>
      <c r="K450" s="8" t="n">
        <v>4</v>
      </c>
      <c r="L450" s="10"/>
      <c r="M450" s="10"/>
      <c r="N450" s="10"/>
      <c r="O450" s="10" t="s">
        <v>73</v>
      </c>
      <c r="P450" s="8" t="str">
        <f aca="false">MID(IF(L450="","","; APP:"&amp;L450)&amp;IF(M450="","","; PS1:"&amp;M450)&amp;IF(N450="","","; AQP4:"&amp;N450)&amp;IF(O450="","","; CAG-EGFP:"&amp;O450),3,200)</f>
        <v>CAG-EGFP:+</v>
      </c>
      <c r="Q450" s="8" t="s">
        <v>47</v>
      </c>
      <c r="R450" s="8" t="s">
        <v>88</v>
      </c>
      <c r="S450" s="8"/>
      <c r="T450" s="8" t="s">
        <v>151</v>
      </c>
    </row>
    <row r="451" customFormat="false" ht="15" hidden="false" customHeight="false" outlineLevel="0" collapsed="false">
      <c r="A451" s="7" t="s">
        <v>734</v>
      </c>
      <c r="B451" s="8" t="s">
        <v>114</v>
      </c>
      <c r="C451" s="8" t="n">
        <v>46</v>
      </c>
      <c r="D451" s="8" t="s">
        <v>33</v>
      </c>
      <c r="E451" s="9" t="n">
        <v>45420</v>
      </c>
      <c r="F451" s="8" t="n">
        <f aca="true">IF(E451="","",ROUND((TODAY()-E451)/7,1))</f>
        <v>109.6</v>
      </c>
      <c r="G451" s="8" t="s">
        <v>38</v>
      </c>
      <c r="H451" s="8"/>
      <c r="I451" s="8" t="s">
        <v>626</v>
      </c>
      <c r="J451" s="8" t="s">
        <v>626</v>
      </c>
      <c r="K451" s="8" t="n">
        <v>4</v>
      </c>
      <c r="L451" s="10"/>
      <c r="M451" s="10"/>
      <c r="N451" s="10"/>
      <c r="O451" s="10" t="s">
        <v>73</v>
      </c>
      <c r="P451" s="8" t="str">
        <f aca="false">MID(IF(L451="","","; APP:"&amp;L451)&amp;IF(M451="","","; PS1:"&amp;M451)&amp;IF(N451="","","; AQP4:"&amp;N451)&amp;IF(O451="","","; CAG-EGFP:"&amp;O451),3,200)</f>
        <v>CAG-EGFP:+</v>
      </c>
      <c r="Q451" s="8" t="s">
        <v>47</v>
      </c>
      <c r="R451" s="8" t="s">
        <v>88</v>
      </c>
      <c r="S451" s="8"/>
      <c r="T451" s="8" t="s">
        <v>151</v>
      </c>
    </row>
    <row r="452" customFormat="false" ht="15" hidden="false" customHeight="false" outlineLevel="0" collapsed="false">
      <c r="A452" s="7" t="s">
        <v>735</v>
      </c>
      <c r="B452" s="8" t="s">
        <v>114</v>
      </c>
      <c r="C452" s="8" t="n">
        <v>47</v>
      </c>
      <c r="D452" s="8" t="s">
        <v>46</v>
      </c>
      <c r="E452" s="9" t="n">
        <v>45420</v>
      </c>
      <c r="F452" s="8" t="n">
        <f aca="true">IF(E452="","",ROUND((TODAY()-E452)/7,1))</f>
        <v>109.6</v>
      </c>
      <c r="G452" s="8" t="s">
        <v>38</v>
      </c>
      <c r="H452" s="8"/>
      <c r="I452" s="8" t="s">
        <v>626</v>
      </c>
      <c r="J452" s="8" t="s">
        <v>626</v>
      </c>
      <c r="K452" s="8" t="n">
        <v>4</v>
      </c>
      <c r="L452" s="10"/>
      <c r="M452" s="10"/>
      <c r="N452" s="10"/>
      <c r="O452" s="10" t="s">
        <v>73</v>
      </c>
      <c r="P452" s="8" t="str">
        <f aca="false">MID(IF(L452="","","; APP:"&amp;L452)&amp;IF(M452="","","; PS1:"&amp;M452)&amp;IF(N452="","","; AQP4:"&amp;N452)&amp;IF(O452="","","; CAG-EGFP:"&amp;O452),3,200)</f>
        <v>CAG-EGFP:+</v>
      </c>
      <c r="Q452" s="8" t="s">
        <v>47</v>
      </c>
      <c r="R452" s="8" t="s">
        <v>88</v>
      </c>
      <c r="S452" s="8"/>
      <c r="T452" s="8"/>
    </row>
    <row r="453" customFormat="false" ht="15" hidden="false" customHeight="false" outlineLevel="0" collapsed="false">
      <c r="A453" s="7" t="s">
        <v>736</v>
      </c>
      <c r="B453" s="8" t="s">
        <v>114</v>
      </c>
      <c r="C453" s="8" t="n">
        <v>48</v>
      </c>
      <c r="D453" s="8" t="s">
        <v>46</v>
      </c>
      <c r="E453" s="9" t="n">
        <v>45420</v>
      </c>
      <c r="F453" s="8" t="n">
        <f aca="true">IF(E453="","",ROUND((TODAY()-E453)/7,1))</f>
        <v>109.6</v>
      </c>
      <c r="G453" s="8" t="s">
        <v>38</v>
      </c>
      <c r="H453" s="8"/>
      <c r="I453" s="8" t="s">
        <v>626</v>
      </c>
      <c r="J453" s="8" t="s">
        <v>626</v>
      </c>
      <c r="K453" s="8" t="n">
        <v>4</v>
      </c>
      <c r="L453" s="10"/>
      <c r="M453" s="10"/>
      <c r="N453" s="10"/>
      <c r="O453" s="10" t="s">
        <v>73</v>
      </c>
      <c r="P453" s="8" t="str">
        <f aca="false">MID(IF(L453="","","; APP:"&amp;L453)&amp;IF(M453="","","; PS1:"&amp;M453)&amp;IF(N453="","","; AQP4:"&amp;N453)&amp;IF(O453="","","; CAG-EGFP:"&amp;O453),3,200)</f>
        <v>CAG-EGFP:+</v>
      </c>
      <c r="Q453" s="8" t="s">
        <v>47</v>
      </c>
      <c r="R453" s="8" t="s">
        <v>88</v>
      </c>
      <c r="S453" s="8"/>
      <c r="T453" s="8"/>
    </row>
    <row r="454" customFormat="false" ht="15" hidden="false" customHeight="false" outlineLevel="0" collapsed="false">
      <c r="A454" s="7" t="s">
        <v>737</v>
      </c>
      <c r="B454" s="8" t="s">
        <v>114</v>
      </c>
      <c r="C454" s="8" t="n">
        <v>49</v>
      </c>
      <c r="D454" s="8" t="s">
        <v>46</v>
      </c>
      <c r="E454" s="9" t="n">
        <v>45420</v>
      </c>
      <c r="F454" s="8" t="n">
        <f aca="true">IF(E454="","",ROUND((TODAY()-E454)/7,1))</f>
        <v>109.6</v>
      </c>
      <c r="G454" s="8" t="s">
        <v>38</v>
      </c>
      <c r="H454" s="8"/>
      <c r="I454" s="8" t="s">
        <v>626</v>
      </c>
      <c r="J454" s="8" t="s">
        <v>626</v>
      </c>
      <c r="K454" s="8" t="n">
        <v>4</v>
      </c>
      <c r="L454" s="10"/>
      <c r="M454" s="10"/>
      <c r="N454" s="10"/>
      <c r="O454" s="10" t="s">
        <v>73</v>
      </c>
      <c r="P454" s="8" t="str">
        <f aca="false">MID(IF(L454="","","; APP:"&amp;L454)&amp;IF(M454="","","; PS1:"&amp;M454)&amp;IF(N454="","","; AQP4:"&amp;N454)&amp;IF(O454="","","; CAG-EGFP:"&amp;O454),3,200)</f>
        <v>CAG-EGFP:+</v>
      </c>
      <c r="Q454" s="8" t="s">
        <v>47</v>
      </c>
      <c r="R454" s="8" t="s">
        <v>88</v>
      </c>
      <c r="S454" s="8"/>
      <c r="T454" s="8"/>
    </row>
    <row r="455" customFormat="false" ht="15" hidden="false" customHeight="false" outlineLevel="0" collapsed="false">
      <c r="A455" s="7" t="s">
        <v>738</v>
      </c>
      <c r="B455" s="8" t="s">
        <v>114</v>
      </c>
      <c r="C455" s="8" t="n">
        <v>50</v>
      </c>
      <c r="D455" s="8" t="s">
        <v>46</v>
      </c>
      <c r="E455" s="9" t="n">
        <v>45420</v>
      </c>
      <c r="F455" s="8" t="n">
        <f aca="true">IF(E455="","",ROUND((TODAY()-E455)/7,1))</f>
        <v>109.6</v>
      </c>
      <c r="G455" s="8" t="s">
        <v>38</v>
      </c>
      <c r="H455" s="8"/>
      <c r="I455" s="8" t="s">
        <v>626</v>
      </c>
      <c r="J455" s="8" t="s">
        <v>626</v>
      </c>
      <c r="K455" s="8" t="n">
        <v>4</v>
      </c>
      <c r="L455" s="10"/>
      <c r="M455" s="10"/>
      <c r="N455" s="10"/>
      <c r="O455" s="10" t="s">
        <v>73</v>
      </c>
      <c r="P455" s="8" t="str">
        <f aca="false">MID(IF(L455="","","; APP:"&amp;L455)&amp;IF(M455="","","; PS1:"&amp;M455)&amp;IF(N455="","","; AQP4:"&amp;N455)&amp;IF(O455="","","; CAG-EGFP:"&amp;O455),3,200)</f>
        <v>CAG-EGFP:+</v>
      </c>
      <c r="Q455" s="8" t="s">
        <v>47</v>
      </c>
      <c r="R455" s="8" t="s">
        <v>88</v>
      </c>
      <c r="S455" s="8"/>
      <c r="T455" s="8"/>
    </row>
    <row r="456" customFormat="false" ht="15" hidden="false" customHeight="false" outlineLevel="0" collapsed="false">
      <c r="A456" s="7" t="s">
        <v>739</v>
      </c>
      <c r="B456" s="8" t="s">
        <v>114</v>
      </c>
      <c r="C456" s="8" t="n">
        <v>51</v>
      </c>
      <c r="D456" s="8" t="s">
        <v>46</v>
      </c>
      <c r="E456" s="9" t="n">
        <v>45420</v>
      </c>
      <c r="F456" s="8" t="n">
        <f aca="true">IF(E456="","",ROUND((TODAY()-E456)/7,1))</f>
        <v>109.6</v>
      </c>
      <c r="G456" s="8" t="s">
        <v>38</v>
      </c>
      <c r="H456" s="8"/>
      <c r="I456" s="8" t="s">
        <v>626</v>
      </c>
      <c r="J456" s="8" t="s">
        <v>626</v>
      </c>
      <c r="K456" s="8" t="n">
        <v>4</v>
      </c>
      <c r="L456" s="10"/>
      <c r="M456" s="10"/>
      <c r="N456" s="10"/>
      <c r="O456" s="10" t="s">
        <v>73</v>
      </c>
      <c r="P456" s="8" t="str">
        <f aca="false">MID(IF(L456="","","; APP:"&amp;L456)&amp;IF(M456="","","; PS1:"&amp;M456)&amp;IF(N456="","","; AQP4:"&amp;N456)&amp;IF(O456="","","; CAG-EGFP:"&amp;O456),3,200)</f>
        <v>CAG-EGFP:+</v>
      </c>
      <c r="Q456" s="8" t="s">
        <v>47</v>
      </c>
      <c r="R456" s="8" t="s">
        <v>88</v>
      </c>
      <c r="S456" s="8"/>
      <c r="T456" s="8"/>
    </row>
    <row r="457" customFormat="false" ht="15" hidden="false" customHeight="false" outlineLevel="0" collapsed="false">
      <c r="A457" s="7" t="s">
        <v>740</v>
      </c>
      <c r="B457" s="8" t="s">
        <v>114</v>
      </c>
      <c r="C457" s="8" t="n">
        <v>52</v>
      </c>
      <c r="D457" s="8" t="s">
        <v>46</v>
      </c>
      <c r="E457" s="9" t="n">
        <v>45420</v>
      </c>
      <c r="F457" s="8" t="n">
        <f aca="true">IF(E457="","",ROUND((TODAY()-E457)/7,1))</f>
        <v>109.6</v>
      </c>
      <c r="G457" s="8" t="s">
        <v>38</v>
      </c>
      <c r="H457" s="8"/>
      <c r="I457" s="8" t="s">
        <v>626</v>
      </c>
      <c r="J457" s="8" t="s">
        <v>626</v>
      </c>
      <c r="K457" s="8" t="n">
        <v>4</v>
      </c>
      <c r="L457" s="10"/>
      <c r="M457" s="10"/>
      <c r="N457" s="10"/>
      <c r="O457" s="10" t="s">
        <v>73</v>
      </c>
      <c r="P457" s="8" t="str">
        <f aca="false">MID(IF(L457="","","; APP:"&amp;L457)&amp;IF(M457="","","; PS1:"&amp;M457)&amp;IF(N457="","","; AQP4:"&amp;N457)&amp;IF(O457="","","; CAG-EGFP:"&amp;O457),3,200)</f>
        <v>CAG-EGFP:+</v>
      </c>
      <c r="Q457" s="8" t="s">
        <v>47</v>
      </c>
      <c r="R457" s="8" t="s">
        <v>88</v>
      </c>
      <c r="S457" s="8"/>
      <c r="T457" s="8"/>
    </row>
    <row r="458" customFormat="false" ht="15" hidden="false" customHeight="false" outlineLevel="0" collapsed="false">
      <c r="A458" s="7" t="s">
        <v>741</v>
      </c>
      <c r="B458" s="8" t="s">
        <v>114</v>
      </c>
      <c r="C458" s="8" t="n">
        <v>53</v>
      </c>
      <c r="D458" s="8" t="s">
        <v>33</v>
      </c>
      <c r="E458" s="9" t="n">
        <v>45444</v>
      </c>
      <c r="F458" s="8" t="n">
        <f aca="true">IF(E458="","",ROUND((TODAY()-E458)/7,1))</f>
        <v>106.1</v>
      </c>
      <c r="G458" s="8" t="s">
        <v>38</v>
      </c>
      <c r="H458" s="8"/>
      <c r="I458" s="8" t="s">
        <v>626</v>
      </c>
      <c r="J458" s="8" t="s">
        <v>626</v>
      </c>
      <c r="K458" s="8" t="n">
        <v>4</v>
      </c>
      <c r="L458" s="10"/>
      <c r="M458" s="10"/>
      <c r="N458" s="10"/>
      <c r="O458" s="10" t="s">
        <v>73</v>
      </c>
      <c r="P458" s="8" t="str">
        <f aca="false">MID(IF(L458="","","; APP:"&amp;L458)&amp;IF(M458="","","; PS1:"&amp;M458)&amp;IF(N458="","","; AQP4:"&amp;N458)&amp;IF(O458="","","; CAG-EGFP:"&amp;O458),3,200)</f>
        <v>CAG-EGFP:+</v>
      </c>
      <c r="Q458" s="8" t="s">
        <v>47</v>
      </c>
      <c r="R458" s="8" t="s">
        <v>88</v>
      </c>
      <c r="S458" s="8"/>
      <c r="T458" s="8"/>
    </row>
    <row r="459" customFormat="false" ht="15" hidden="false" customHeight="false" outlineLevel="0" collapsed="false">
      <c r="A459" s="7" t="s">
        <v>742</v>
      </c>
      <c r="B459" s="8" t="s">
        <v>114</v>
      </c>
      <c r="C459" s="8" t="n">
        <v>54</v>
      </c>
      <c r="D459" s="8" t="s">
        <v>33</v>
      </c>
      <c r="E459" s="9" t="n">
        <v>45444</v>
      </c>
      <c r="F459" s="8" t="n">
        <f aca="true">IF(E459="","",ROUND((TODAY()-E459)/7,1))</f>
        <v>106.1</v>
      </c>
      <c r="G459" s="8" t="s">
        <v>38</v>
      </c>
      <c r="H459" s="8"/>
      <c r="I459" s="8" t="s">
        <v>626</v>
      </c>
      <c r="J459" s="8" t="s">
        <v>626</v>
      </c>
      <c r="K459" s="8" t="n">
        <v>4</v>
      </c>
      <c r="L459" s="10"/>
      <c r="M459" s="10"/>
      <c r="N459" s="10"/>
      <c r="O459" s="10" t="s">
        <v>73</v>
      </c>
      <c r="P459" s="8" t="str">
        <f aca="false">MID(IF(L459="","","; APP:"&amp;L459)&amp;IF(M459="","","; PS1:"&amp;M459)&amp;IF(N459="","","; AQP4:"&amp;N459)&amp;IF(O459="","","; CAG-EGFP:"&amp;O459),3,200)</f>
        <v>CAG-EGFP:+</v>
      </c>
      <c r="Q459" s="8" t="s">
        <v>47</v>
      </c>
      <c r="R459" s="8" t="s">
        <v>88</v>
      </c>
      <c r="S459" s="8"/>
      <c r="T459" s="8"/>
    </row>
    <row r="460" customFormat="false" ht="15" hidden="false" customHeight="false" outlineLevel="0" collapsed="false">
      <c r="A460" s="7" t="s">
        <v>743</v>
      </c>
      <c r="B460" s="8" t="s">
        <v>114</v>
      </c>
      <c r="C460" s="8" t="n">
        <v>55</v>
      </c>
      <c r="D460" s="8" t="s">
        <v>46</v>
      </c>
      <c r="E460" s="9" t="n">
        <v>45444</v>
      </c>
      <c r="F460" s="8" t="n">
        <f aca="true">IF(E460="","",ROUND((TODAY()-E460)/7,1))</f>
        <v>106.1</v>
      </c>
      <c r="G460" s="8" t="s">
        <v>38</v>
      </c>
      <c r="H460" s="8"/>
      <c r="I460" s="8" t="s">
        <v>626</v>
      </c>
      <c r="J460" s="8" t="s">
        <v>626</v>
      </c>
      <c r="K460" s="8" t="n">
        <v>4</v>
      </c>
      <c r="L460" s="10"/>
      <c r="M460" s="10"/>
      <c r="N460" s="10"/>
      <c r="O460" s="10" t="s">
        <v>73</v>
      </c>
      <c r="P460" s="8" t="str">
        <f aca="false">MID(IF(L460="","","; APP:"&amp;L460)&amp;IF(M460="","","; PS1:"&amp;M460)&amp;IF(N460="","","; AQP4:"&amp;N460)&amp;IF(O460="","","; CAG-EGFP:"&amp;O460),3,200)</f>
        <v>CAG-EGFP:+</v>
      </c>
      <c r="Q460" s="8" t="s">
        <v>47</v>
      </c>
      <c r="R460" s="8" t="s">
        <v>88</v>
      </c>
      <c r="S460" s="8"/>
      <c r="T460" s="8"/>
    </row>
    <row r="461" customFormat="false" ht="15" hidden="false" customHeight="false" outlineLevel="0" collapsed="false">
      <c r="A461" s="7" t="s">
        <v>744</v>
      </c>
      <c r="B461" s="8" t="s">
        <v>114</v>
      </c>
      <c r="C461" s="8" t="n">
        <v>56</v>
      </c>
      <c r="D461" s="8" t="s">
        <v>46</v>
      </c>
      <c r="E461" s="9" t="n">
        <v>45444</v>
      </c>
      <c r="F461" s="8" t="n">
        <f aca="true">IF(E461="","",ROUND((TODAY()-E461)/7,1))</f>
        <v>106.1</v>
      </c>
      <c r="G461" s="8" t="s">
        <v>38</v>
      </c>
      <c r="H461" s="8"/>
      <c r="I461" s="8" t="s">
        <v>626</v>
      </c>
      <c r="J461" s="8" t="s">
        <v>626</v>
      </c>
      <c r="K461" s="8" t="n">
        <v>4</v>
      </c>
      <c r="L461" s="10"/>
      <c r="M461" s="10"/>
      <c r="N461" s="10"/>
      <c r="O461" s="10" t="s">
        <v>73</v>
      </c>
      <c r="P461" s="8" t="str">
        <f aca="false">MID(IF(L461="","","; APP:"&amp;L461)&amp;IF(M461="","","; PS1:"&amp;M461)&amp;IF(N461="","","; AQP4:"&amp;N461)&amp;IF(O461="","","; CAG-EGFP:"&amp;O461),3,200)</f>
        <v>CAG-EGFP:+</v>
      </c>
      <c r="Q461" s="8" t="s">
        <v>47</v>
      </c>
      <c r="R461" s="8" t="s">
        <v>88</v>
      </c>
      <c r="S461" s="8"/>
      <c r="T461" s="8"/>
    </row>
    <row r="462" customFormat="false" ht="15" hidden="false" customHeight="false" outlineLevel="0" collapsed="false">
      <c r="A462" s="7" t="s">
        <v>745</v>
      </c>
      <c r="B462" s="8" t="s">
        <v>114</v>
      </c>
      <c r="C462" s="8" t="n">
        <v>57</v>
      </c>
      <c r="D462" s="8" t="s">
        <v>46</v>
      </c>
      <c r="E462" s="9" t="n">
        <v>45444</v>
      </c>
      <c r="F462" s="8" t="n">
        <f aca="true">IF(E462="","",ROUND((TODAY()-E462)/7,1))</f>
        <v>106.1</v>
      </c>
      <c r="G462" s="8" t="s">
        <v>38</v>
      </c>
      <c r="H462" s="8"/>
      <c r="I462" s="8" t="s">
        <v>626</v>
      </c>
      <c r="J462" s="8" t="s">
        <v>626</v>
      </c>
      <c r="K462" s="8" t="n">
        <v>4</v>
      </c>
      <c r="L462" s="10"/>
      <c r="M462" s="10"/>
      <c r="N462" s="10"/>
      <c r="O462" s="10" t="s">
        <v>73</v>
      </c>
      <c r="P462" s="8" t="str">
        <f aca="false">MID(IF(L462="","","; APP:"&amp;L462)&amp;IF(M462="","","; PS1:"&amp;M462)&amp;IF(N462="","","; AQP4:"&amp;N462)&amp;IF(O462="","","; CAG-EGFP:"&amp;O462),3,200)</f>
        <v>CAG-EGFP:+</v>
      </c>
      <c r="Q462" s="8" t="s">
        <v>47</v>
      </c>
      <c r="R462" s="8" t="s">
        <v>88</v>
      </c>
      <c r="S462" s="8"/>
      <c r="T462" s="8"/>
    </row>
    <row r="463" customFormat="false" ht="15" hidden="false" customHeight="false" outlineLevel="0" collapsed="false">
      <c r="A463" s="7" t="s">
        <v>746</v>
      </c>
      <c r="B463" s="8" t="s">
        <v>114</v>
      </c>
      <c r="C463" s="8" t="n">
        <v>58</v>
      </c>
      <c r="D463" s="8" t="s">
        <v>33</v>
      </c>
      <c r="E463" s="9" t="n">
        <v>45472</v>
      </c>
      <c r="F463" s="8" t="n">
        <f aca="true">IF(E463="","",ROUND((TODAY()-E463)/7,1))</f>
        <v>102.1</v>
      </c>
      <c r="G463" s="8" t="s">
        <v>38</v>
      </c>
      <c r="H463" s="8"/>
      <c r="I463" s="8" t="s">
        <v>626</v>
      </c>
      <c r="J463" s="8" t="s">
        <v>626</v>
      </c>
      <c r="K463" s="8" t="n">
        <v>4</v>
      </c>
      <c r="L463" s="10"/>
      <c r="M463" s="10"/>
      <c r="N463" s="10"/>
      <c r="O463" s="10" t="s">
        <v>73</v>
      </c>
      <c r="P463" s="8" t="str">
        <f aca="false">MID(IF(L463="","","; APP:"&amp;L463)&amp;IF(M463="","","; PS1:"&amp;M463)&amp;IF(N463="","","; AQP4:"&amp;N463)&amp;IF(O463="","","; CAG-EGFP:"&amp;O463),3,200)</f>
        <v>CAG-EGFP:+</v>
      </c>
      <c r="Q463" s="8" t="s">
        <v>47</v>
      </c>
      <c r="R463" s="8" t="s">
        <v>88</v>
      </c>
      <c r="S463" s="8"/>
      <c r="T463" s="8"/>
    </row>
    <row r="464" customFormat="false" ht="15" hidden="false" customHeight="false" outlineLevel="0" collapsed="false">
      <c r="A464" s="7" t="s">
        <v>747</v>
      </c>
      <c r="B464" s="8" t="s">
        <v>114</v>
      </c>
      <c r="C464" s="8" t="n">
        <v>59</v>
      </c>
      <c r="D464" s="8" t="s">
        <v>33</v>
      </c>
      <c r="E464" s="9" t="n">
        <v>45472</v>
      </c>
      <c r="F464" s="8" t="n">
        <f aca="true">IF(E464="","",ROUND((TODAY()-E464)/7,1))</f>
        <v>102.1</v>
      </c>
      <c r="G464" s="8" t="s">
        <v>38</v>
      </c>
      <c r="H464" s="8"/>
      <c r="I464" s="8" t="s">
        <v>626</v>
      </c>
      <c r="J464" s="8" t="s">
        <v>626</v>
      </c>
      <c r="K464" s="8" t="n">
        <v>4</v>
      </c>
      <c r="L464" s="10"/>
      <c r="M464" s="10"/>
      <c r="N464" s="10"/>
      <c r="O464" s="10" t="s">
        <v>73</v>
      </c>
      <c r="P464" s="8" t="str">
        <f aca="false">MID(IF(L464="","","; APP:"&amp;L464)&amp;IF(M464="","","; PS1:"&amp;M464)&amp;IF(N464="","","; AQP4:"&amp;N464)&amp;IF(O464="","","; CAG-EGFP:"&amp;O464),3,200)</f>
        <v>CAG-EGFP:+</v>
      </c>
      <c r="Q464" s="8" t="s">
        <v>47</v>
      </c>
      <c r="R464" s="8" t="s">
        <v>88</v>
      </c>
      <c r="S464" s="8"/>
      <c r="T464" s="8"/>
    </row>
    <row r="465" customFormat="false" ht="15" hidden="false" customHeight="false" outlineLevel="0" collapsed="false">
      <c r="A465" s="7" t="s">
        <v>748</v>
      </c>
      <c r="B465" s="8" t="s">
        <v>114</v>
      </c>
      <c r="C465" s="8" t="n">
        <v>60</v>
      </c>
      <c r="D465" s="8" t="s">
        <v>33</v>
      </c>
      <c r="E465" s="9" t="n">
        <v>45472</v>
      </c>
      <c r="F465" s="8" t="n">
        <f aca="true">IF(E465="","",ROUND((TODAY()-E465)/7,1))</f>
        <v>102.1</v>
      </c>
      <c r="G465" s="8" t="s">
        <v>38</v>
      </c>
      <c r="H465" s="8"/>
      <c r="I465" s="8" t="s">
        <v>626</v>
      </c>
      <c r="J465" s="8" t="s">
        <v>626</v>
      </c>
      <c r="K465" s="8" t="n">
        <v>4</v>
      </c>
      <c r="L465" s="10"/>
      <c r="M465" s="10"/>
      <c r="N465" s="10"/>
      <c r="O465" s="10" t="s">
        <v>73</v>
      </c>
      <c r="P465" s="8" t="str">
        <f aca="false">MID(IF(L465="","","; APP:"&amp;L465)&amp;IF(M465="","","; PS1:"&amp;M465)&amp;IF(N465="","","; AQP4:"&amp;N465)&amp;IF(O465="","","; CAG-EGFP:"&amp;O465),3,200)</f>
        <v>CAG-EGFP:+</v>
      </c>
      <c r="Q465" s="8" t="s">
        <v>47</v>
      </c>
      <c r="R465" s="8" t="s">
        <v>88</v>
      </c>
      <c r="S465" s="8"/>
      <c r="T465" s="8"/>
    </row>
    <row r="466" customFormat="false" ht="15" hidden="false" customHeight="false" outlineLevel="0" collapsed="false">
      <c r="A466" s="7" t="s">
        <v>749</v>
      </c>
      <c r="B466" s="8" t="s">
        <v>114</v>
      </c>
      <c r="C466" s="8" t="n">
        <v>61</v>
      </c>
      <c r="D466" s="8" t="s">
        <v>46</v>
      </c>
      <c r="E466" s="9" t="n">
        <v>45472</v>
      </c>
      <c r="F466" s="8" t="n">
        <f aca="true">IF(E466="","",ROUND((TODAY()-E466)/7,1))</f>
        <v>102.1</v>
      </c>
      <c r="G466" s="8" t="s">
        <v>38</v>
      </c>
      <c r="H466" s="8"/>
      <c r="I466" s="8" t="s">
        <v>626</v>
      </c>
      <c r="J466" s="8" t="s">
        <v>626</v>
      </c>
      <c r="K466" s="8" t="n">
        <v>4</v>
      </c>
      <c r="L466" s="10"/>
      <c r="M466" s="10"/>
      <c r="N466" s="10"/>
      <c r="O466" s="10" t="s">
        <v>73</v>
      </c>
      <c r="P466" s="8" t="str">
        <f aca="false">MID(IF(L466="","","; APP:"&amp;L466)&amp;IF(M466="","","; PS1:"&amp;M466)&amp;IF(N466="","","; AQP4:"&amp;N466)&amp;IF(O466="","","; CAG-EGFP:"&amp;O466),3,200)</f>
        <v>CAG-EGFP:+</v>
      </c>
      <c r="Q466" s="8" t="s">
        <v>47</v>
      </c>
      <c r="R466" s="8" t="s">
        <v>88</v>
      </c>
      <c r="S466" s="8"/>
      <c r="T466" s="8"/>
    </row>
    <row r="467" customFormat="false" ht="15" hidden="false" customHeight="false" outlineLevel="0" collapsed="false">
      <c r="A467" s="7" t="s">
        <v>750</v>
      </c>
      <c r="B467" s="8" t="s">
        <v>114</v>
      </c>
      <c r="C467" s="8" t="n">
        <v>62</v>
      </c>
      <c r="D467" s="8" t="s">
        <v>33</v>
      </c>
      <c r="E467" s="9" t="n">
        <v>45479</v>
      </c>
      <c r="F467" s="8" t="n">
        <f aca="true">IF(E467="","",ROUND((TODAY()-E467)/7,1))</f>
        <v>101.1</v>
      </c>
      <c r="G467" s="8" t="s">
        <v>38</v>
      </c>
      <c r="H467" s="8"/>
      <c r="I467" s="8" t="s">
        <v>721</v>
      </c>
      <c r="J467" s="8" t="s">
        <v>751</v>
      </c>
      <c r="K467" s="8" t="n">
        <v>3</v>
      </c>
      <c r="L467" s="10"/>
      <c r="M467" s="10"/>
      <c r="N467" s="10"/>
      <c r="O467" s="10" t="s">
        <v>73</v>
      </c>
      <c r="P467" s="8" t="str">
        <f aca="false">MID(IF(L467="","","; APP:"&amp;L467)&amp;IF(M467="","","; PS1:"&amp;M467)&amp;IF(N467="","","; AQP4:"&amp;N467)&amp;IF(O467="","","; CAG-EGFP:"&amp;O467),3,200)</f>
        <v>CAG-EGFP:+</v>
      </c>
      <c r="Q467" s="8" t="s">
        <v>47</v>
      </c>
      <c r="R467" s="8" t="s">
        <v>88</v>
      </c>
      <c r="S467" s="8"/>
      <c r="T467" s="8"/>
    </row>
    <row r="468" customFormat="false" ht="15" hidden="false" customHeight="false" outlineLevel="0" collapsed="false">
      <c r="A468" s="7" t="s">
        <v>752</v>
      </c>
      <c r="B468" s="8" t="s">
        <v>114</v>
      </c>
      <c r="C468" s="8" t="n">
        <v>63</v>
      </c>
      <c r="D468" s="8" t="s">
        <v>33</v>
      </c>
      <c r="E468" s="9" t="n">
        <v>45479</v>
      </c>
      <c r="F468" s="8" t="n">
        <f aca="true">IF(E468="","",ROUND((TODAY()-E468)/7,1))</f>
        <v>101.1</v>
      </c>
      <c r="G468" s="8" t="s">
        <v>38</v>
      </c>
      <c r="H468" s="8"/>
      <c r="I468" s="8" t="s">
        <v>721</v>
      </c>
      <c r="J468" s="8" t="s">
        <v>751</v>
      </c>
      <c r="K468" s="8" t="n">
        <v>3</v>
      </c>
      <c r="L468" s="10"/>
      <c r="M468" s="10"/>
      <c r="N468" s="10"/>
      <c r="O468" s="10" t="s">
        <v>73</v>
      </c>
      <c r="P468" s="8" t="str">
        <f aca="false">MID(IF(L468="","","; APP:"&amp;L468)&amp;IF(M468="","","; PS1:"&amp;M468)&amp;IF(N468="","","; AQP4:"&amp;N468)&amp;IF(O468="","","; CAG-EGFP:"&amp;O468),3,200)</f>
        <v>CAG-EGFP:+</v>
      </c>
      <c r="Q468" s="8" t="s">
        <v>47</v>
      </c>
      <c r="R468" s="8" t="s">
        <v>88</v>
      </c>
      <c r="S468" s="8"/>
      <c r="T468" s="8"/>
    </row>
    <row r="469" customFormat="false" ht="15" hidden="false" customHeight="false" outlineLevel="0" collapsed="false">
      <c r="A469" s="7" t="s">
        <v>753</v>
      </c>
      <c r="B469" s="8" t="s">
        <v>114</v>
      </c>
      <c r="C469" s="8" t="n">
        <v>64</v>
      </c>
      <c r="D469" s="8" t="s">
        <v>46</v>
      </c>
      <c r="E469" s="9" t="n">
        <v>45479</v>
      </c>
      <c r="F469" s="8" t="n">
        <f aca="true">IF(E469="","",ROUND((TODAY()-E469)/7,1))</f>
        <v>101.1</v>
      </c>
      <c r="G469" s="8" t="s">
        <v>38</v>
      </c>
      <c r="H469" s="8"/>
      <c r="I469" s="8" t="s">
        <v>721</v>
      </c>
      <c r="J469" s="8" t="s">
        <v>751</v>
      </c>
      <c r="K469" s="8" t="n">
        <v>3</v>
      </c>
      <c r="L469" s="10"/>
      <c r="M469" s="10"/>
      <c r="N469" s="10"/>
      <c r="O469" s="10" t="s">
        <v>73</v>
      </c>
      <c r="P469" s="8" t="str">
        <f aca="false">MID(IF(L469="","","; APP:"&amp;L469)&amp;IF(M469="","","; PS1:"&amp;M469)&amp;IF(N469="","","; AQP4:"&amp;N469)&amp;IF(O469="","","; CAG-EGFP:"&amp;O469),3,200)</f>
        <v>CAG-EGFP:+</v>
      </c>
      <c r="Q469" s="8" t="s">
        <v>47</v>
      </c>
      <c r="R469" s="8" t="s">
        <v>88</v>
      </c>
      <c r="S469" s="8"/>
      <c r="T469" s="8" t="s">
        <v>151</v>
      </c>
    </row>
    <row r="470" customFormat="false" ht="15" hidden="false" customHeight="false" outlineLevel="0" collapsed="false">
      <c r="A470" s="7" t="s">
        <v>754</v>
      </c>
      <c r="B470" s="8" t="s">
        <v>114</v>
      </c>
      <c r="C470" s="8" t="n">
        <v>65</v>
      </c>
      <c r="D470" s="8" t="s">
        <v>46</v>
      </c>
      <c r="E470" s="9" t="n">
        <v>45479</v>
      </c>
      <c r="F470" s="8" t="n">
        <f aca="true">IF(E470="","",ROUND((TODAY()-E470)/7,1))</f>
        <v>101.1</v>
      </c>
      <c r="G470" s="8" t="s">
        <v>38</v>
      </c>
      <c r="H470" s="8"/>
      <c r="I470" s="8" t="s">
        <v>721</v>
      </c>
      <c r="J470" s="8" t="s">
        <v>751</v>
      </c>
      <c r="K470" s="8" t="n">
        <v>3</v>
      </c>
      <c r="L470" s="10"/>
      <c r="M470" s="10"/>
      <c r="N470" s="10"/>
      <c r="O470" s="10" t="s">
        <v>73</v>
      </c>
      <c r="P470" s="8" t="str">
        <f aca="false">MID(IF(L470="","","; APP:"&amp;L470)&amp;IF(M470="","","; PS1:"&amp;M470)&amp;IF(N470="","","; AQP4:"&amp;N470)&amp;IF(O470="","","; CAG-EGFP:"&amp;O470),3,200)</f>
        <v>CAG-EGFP:+</v>
      </c>
      <c r="Q470" s="8" t="s">
        <v>47</v>
      </c>
      <c r="R470" s="8" t="s">
        <v>88</v>
      </c>
      <c r="S470" s="8"/>
      <c r="T470" s="8" t="s">
        <v>151</v>
      </c>
    </row>
    <row r="471" customFormat="false" ht="15" hidden="false" customHeight="false" outlineLevel="0" collapsed="false">
      <c r="A471" s="7" t="s">
        <v>755</v>
      </c>
      <c r="B471" s="8" t="s">
        <v>114</v>
      </c>
      <c r="C471" s="8" t="n">
        <v>66</v>
      </c>
      <c r="D471" s="8" t="s">
        <v>46</v>
      </c>
      <c r="E471" s="9" t="n">
        <v>45479</v>
      </c>
      <c r="F471" s="8" t="n">
        <f aca="true">IF(E471="","",ROUND((TODAY()-E471)/7,1))</f>
        <v>101.1</v>
      </c>
      <c r="G471" s="8" t="s">
        <v>38</v>
      </c>
      <c r="H471" s="8"/>
      <c r="I471" s="8" t="s">
        <v>721</v>
      </c>
      <c r="J471" s="8" t="s">
        <v>751</v>
      </c>
      <c r="K471" s="8" t="n">
        <v>3</v>
      </c>
      <c r="L471" s="10"/>
      <c r="M471" s="10"/>
      <c r="N471" s="10"/>
      <c r="O471" s="10" t="s">
        <v>73</v>
      </c>
      <c r="P471" s="8" t="str">
        <f aca="false">MID(IF(L471="","","; APP:"&amp;L471)&amp;IF(M471="","","; PS1:"&amp;M471)&amp;IF(N471="","","; AQP4:"&amp;N471)&amp;IF(O471="","","; CAG-EGFP:"&amp;O471),3,200)</f>
        <v>CAG-EGFP:+</v>
      </c>
      <c r="Q471" s="8" t="s">
        <v>47</v>
      </c>
      <c r="R471" s="8" t="s">
        <v>88</v>
      </c>
      <c r="S471" s="8"/>
      <c r="T471" s="8" t="s">
        <v>151</v>
      </c>
    </row>
    <row r="472" customFormat="false" ht="15" hidden="false" customHeight="false" outlineLevel="0" collapsed="false">
      <c r="A472" s="7" t="s">
        <v>756</v>
      </c>
      <c r="B472" s="8" t="s">
        <v>114</v>
      </c>
      <c r="C472" s="8" t="n">
        <v>67</v>
      </c>
      <c r="D472" s="8" t="s">
        <v>46</v>
      </c>
      <c r="E472" s="9" t="n">
        <v>45479</v>
      </c>
      <c r="F472" s="8" t="n">
        <f aca="true">IF(E472="","",ROUND((TODAY()-E472)/7,1))</f>
        <v>101.1</v>
      </c>
      <c r="G472" s="8" t="s">
        <v>38</v>
      </c>
      <c r="H472" s="8"/>
      <c r="I472" s="8" t="s">
        <v>721</v>
      </c>
      <c r="J472" s="8" t="s">
        <v>751</v>
      </c>
      <c r="K472" s="8" t="n">
        <v>3</v>
      </c>
      <c r="L472" s="10"/>
      <c r="M472" s="10"/>
      <c r="N472" s="10"/>
      <c r="O472" s="10" t="s">
        <v>73</v>
      </c>
      <c r="P472" s="8" t="str">
        <f aca="false">MID(IF(L472="","","; APP:"&amp;L472)&amp;IF(M472="","","; PS1:"&amp;M472)&amp;IF(N472="","","; AQP4:"&amp;N472)&amp;IF(O472="","","; CAG-EGFP:"&amp;O472),3,200)</f>
        <v>CAG-EGFP:+</v>
      </c>
      <c r="Q472" s="8" t="s">
        <v>47</v>
      </c>
      <c r="R472" s="8" t="s">
        <v>88</v>
      </c>
      <c r="S472" s="8"/>
      <c r="T472" s="8" t="s">
        <v>151</v>
      </c>
    </row>
    <row r="473" customFormat="false" ht="15" hidden="false" customHeight="false" outlineLevel="0" collapsed="false">
      <c r="A473" s="7" t="s">
        <v>757</v>
      </c>
      <c r="B473" s="8" t="s">
        <v>114</v>
      </c>
      <c r="C473" s="8" t="n">
        <v>68</v>
      </c>
      <c r="D473" s="8" t="s">
        <v>46</v>
      </c>
      <c r="E473" s="9" t="n">
        <v>45479</v>
      </c>
      <c r="F473" s="8" t="n">
        <f aca="true">IF(E473="","",ROUND((TODAY()-E473)/7,1))</f>
        <v>101.1</v>
      </c>
      <c r="G473" s="8" t="s">
        <v>38</v>
      </c>
      <c r="H473" s="8"/>
      <c r="I473" s="8" t="s">
        <v>721</v>
      </c>
      <c r="J473" s="8" t="s">
        <v>751</v>
      </c>
      <c r="K473" s="8" t="n">
        <v>3</v>
      </c>
      <c r="L473" s="10"/>
      <c r="M473" s="10"/>
      <c r="N473" s="10"/>
      <c r="O473" s="10" t="s">
        <v>73</v>
      </c>
      <c r="P473" s="8" t="str">
        <f aca="false">MID(IF(L473="","","; APP:"&amp;L473)&amp;IF(M473="","","; PS1:"&amp;M473)&amp;IF(N473="","","; AQP4:"&amp;N473)&amp;IF(O473="","","; CAG-EGFP:"&amp;O473),3,200)</f>
        <v>CAG-EGFP:+</v>
      </c>
      <c r="Q473" s="8" t="s">
        <v>47</v>
      </c>
      <c r="R473" s="8" t="s">
        <v>88</v>
      </c>
      <c r="S473" s="8"/>
      <c r="T473" s="8" t="s">
        <v>151</v>
      </c>
    </row>
    <row r="474" customFormat="false" ht="15" hidden="false" customHeight="false" outlineLevel="0" collapsed="false">
      <c r="A474" s="7" t="s">
        <v>758</v>
      </c>
      <c r="B474" s="8" t="s">
        <v>114</v>
      </c>
      <c r="C474" s="8" t="n">
        <v>69</v>
      </c>
      <c r="D474" s="8" t="s">
        <v>33</v>
      </c>
      <c r="E474" s="9" t="n">
        <v>45479</v>
      </c>
      <c r="F474" s="8" t="n">
        <f aca="true">IF(E474="","",ROUND((TODAY()-E474)/7,1))</f>
        <v>101.1</v>
      </c>
      <c r="G474" s="8" t="s">
        <v>38</v>
      </c>
      <c r="H474" s="8"/>
      <c r="I474" s="8" t="s">
        <v>759</v>
      </c>
      <c r="J474" s="8" t="s">
        <v>714</v>
      </c>
      <c r="K474" s="8" t="n">
        <v>3</v>
      </c>
      <c r="L474" s="10"/>
      <c r="M474" s="10"/>
      <c r="N474" s="10"/>
      <c r="O474" s="10" t="s">
        <v>73</v>
      </c>
      <c r="P474" s="8" t="str">
        <f aca="false">MID(IF(L474="","","; APP:"&amp;L474)&amp;IF(M474="","","; PS1:"&amp;M474)&amp;IF(N474="","","; AQP4:"&amp;N474)&amp;IF(O474="","","; CAG-EGFP:"&amp;O474),3,200)</f>
        <v>CAG-EGFP:+</v>
      </c>
      <c r="Q474" s="8" t="s">
        <v>47</v>
      </c>
      <c r="R474" s="8" t="s">
        <v>88</v>
      </c>
      <c r="S474" s="8"/>
      <c r="T474" s="8" t="s">
        <v>151</v>
      </c>
    </row>
    <row r="475" customFormat="false" ht="15" hidden="false" customHeight="false" outlineLevel="0" collapsed="false">
      <c r="A475" s="7" t="s">
        <v>760</v>
      </c>
      <c r="B475" s="8" t="s">
        <v>114</v>
      </c>
      <c r="C475" s="8" t="n">
        <v>70</v>
      </c>
      <c r="D475" s="8" t="s">
        <v>33</v>
      </c>
      <c r="E475" s="9" t="n">
        <v>45479</v>
      </c>
      <c r="F475" s="8" t="n">
        <f aca="true">IF(E475="","",ROUND((TODAY()-E475)/7,1))</f>
        <v>101.1</v>
      </c>
      <c r="G475" s="8" t="s">
        <v>38</v>
      </c>
      <c r="H475" s="8"/>
      <c r="I475" s="8" t="s">
        <v>759</v>
      </c>
      <c r="J475" s="8" t="s">
        <v>714</v>
      </c>
      <c r="K475" s="8" t="n">
        <v>3</v>
      </c>
      <c r="L475" s="10"/>
      <c r="M475" s="10"/>
      <c r="N475" s="10"/>
      <c r="O475" s="10" t="s">
        <v>73</v>
      </c>
      <c r="P475" s="8" t="str">
        <f aca="false">MID(IF(L475="","","; APP:"&amp;L475)&amp;IF(M475="","","; PS1:"&amp;M475)&amp;IF(N475="","","; AQP4:"&amp;N475)&amp;IF(O475="","","; CAG-EGFP:"&amp;O475),3,200)</f>
        <v>CAG-EGFP:+</v>
      </c>
      <c r="Q475" s="8" t="s">
        <v>47</v>
      </c>
      <c r="R475" s="8" t="s">
        <v>88</v>
      </c>
      <c r="S475" s="8"/>
      <c r="T475" s="8" t="s">
        <v>151</v>
      </c>
    </row>
    <row r="476" customFormat="false" ht="15" hidden="false" customHeight="false" outlineLevel="0" collapsed="false">
      <c r="A476" s="7" t="s">
        <v>761</v>
      </c>
      <c r="B476" s="8" t="s">
        <v>114</v>
      </c>
      <c r="C476" s="8" t="n">
        <v>71</v>
      </c>
      <c r="D476" s="8" t="s">
        <v>33</v>
      </c>
      <c r="E476" s="9" t="n">
        <v>45479</v>
      </c>
      <c r="F476" s="8" t="n">
        <f aca="true">IF(E476="","",ROUND((TODAY()-E476)/7,1))</f>
        <v>101.1</v>
      </c>
      <c r="G476" s="8" t="s">
        <v>38</v>
      </c>
      <c r="H476" s="8"/>
      <c r="I476" s="8" t="s">
        <v>759</v>
      </c>
      <c r="J476" s="8" t="s">
        <v>714</v>
      </c>
      <c r="K476" s="8" t="n">
        <v>3</v>
      </c>
      <c r="L476" s="10"/>
      <c r="M476" s="10"/>
      <c r="N476" s="10"/>
      <c r="O476" s="10" t="s">
        <v>73</v>
      </c>
      <c r="P476" s="8" t="str">
        <f aca="false">MID(IF(L476="","","; APP:"&amp;L476)&amp;IF(M476="","","; PS1:"&amp;M476)&amp;IF(N476="","","; AQP4:"&amp;N476)&amp;IF(O476="","","; CAG-EGFP:"&amp;O476),3,200)</f>
        <v>CAG-EGFP:+</v>
      </c>
      <c r="Q476" s="8" t="s">
        <v>47</v>
      </c>
      <c r="R476" s="8" t="s">
        <v>88</v>
      </c>
      <c r="S476" s="8"/>
      <c r="T476" s="8" t="s">
        <v>151</v>
      </c>
    </row>
    <row r="477" customFormat="false" ht="15" hidden="false" customHeight="false" outlineLevel="0" collapsed="false">
      <c r="A477" s="7" t="s">
        <v>762</v>
      </c>
      <c r="B477" s="8" t="s">
        <v>114</v>
      </c>
      <c r="C477" s="8" t="n">
        <v>72</v>
      </c>
      <c r="D477" s="8" t="s">
        <v>46</v>
      </c>
      <c r="E477" s="9" t="n">
        <v>45479</v>
      </c>
      <c r="F477" s="8" t="n">
        <f aca="true">IF(E477="","",ROUND((TODAY()-E477)/7,1))</f>
        <v>101.1</v>
      </c>
      <c r="G477" s="8" t="s">
        <v>38</v>
      </c>
      <c r="H477" s="8"/>
      <c r="I477" s="8" t="s">
        <v>759</v>
      </c>
      <c r="J477" s="8" t="s">
        <v>714</v>
      </c>
      <c r="K477" s="8" t="n">
        <v>3</v>
      </c>
      <c r="L477" s="10"/>
      <c r="M477" s="10"/>
      <c r="N477" s="10"/>
      <c r="O477" s="10" t="s">
        <v>73</v>
      </c>
      <c r="P477" s="8" t="str">
        <f aca="false">MID(IF(L477="","","; APP:"&amp;L477)&amp;IF(M477="","","; PS1:"&amp;M477)&amp;IF(N477="","","; AQP4:"&amp;N477)&amp;IF(O477="","","; CAG-EGFP:"&amp;O477),3,200)</f>
        <v>CAG-EGFP:+</v>
      </c>
      <c r="Q477" s="8" t="s">
        <v>47</v>
      </c>
      <c r="R477" s="8" t="s">
        <v>88</v>
      </c>
      <c r="S477" s="8"/>
      <c r="T477" s="8" t="s">
        <v>151</v>
      </c>
    </row>
    <row r="478" customFormat="false" ht="17.15" hidden="false" customHeight="false" outlineLevel="0" collapsed="false">
      <c r="A478" s="7" t="s">
        <v>763</v>
      </c>
      <c r="B478" s="8" t="s">
        <v>114</v>
      </c>
      <c r="C478" s="8" t="n">
        <v>73</v>
      </c>
      <c r="D478" s="8" t="s">
        <v>46</v>
      </c>
      <c r="E478" s="9" t="n">
        <v>45479</v>
      </c>
      <c r="F478" s="8" t="n">
        <f aca="true">IF(E478="","",ROUND((TODAY()-E478)/7,1))</f>
        <v>101.1</v>
      </c>
      <c r="G478" s="8" t="s">
        <v>38</v>
      </c>
      <c r="H478" s="8"/>
      <c r="I478" s="8" t="s">
        <v>759</v>
      </c>
      <c r="J478" s="8" t="s">
        <v>714</v>
      </c>
      <c r="K478" s="8" t="n">
        <v>3</v>
      </c>
      <c r="L478" s="10"/>
      <c r="M478" s="10"/>
      <c r="N478" s="10"/>
      <c r="O478" s="10" t="s">
        <v>73</v>
      </c>
      <c r="P478" s="8" t="str">
        <f aca="false">MID(IF(L478="","","; APP:"&amp;L478)&amp;IF(M478="","","; PS1:"&amp;M478)&amp;IF(N478="","","; AQP4:"&amp;N478)&amp;IF(O478="","","; CAG-EGFP:"&amp;O478),3,200)</f>
        <v>CAG-EGFP:+</v>
      </c>
      <c r="Q478" s="8" t="s">
        <v>47</v>
      </c>
      <c r="R478" s="8" t="s">
        <v>88</v>
      </c>
      <c r="S478" s="8"/>
      <c r="T478" s="11" t="s">
        <v>764</v>
      </c>
    </row>
    <row r="479" customFormat="false" ht="15" hidden="false" customHeight="false" outlineLevel="0" collapsed="false">
      <c r="A479" s="7" t="s">
        <v>765</v>
      </c>
      <c r="B479" s="8" t="s">
        <v>114</v>
      </c>
      <c r="C479" s="8" t="n">
        <v>74</v>
      </c>
      <c r="D479" s="8" t="s">
        <v>46</v>
      </c>
      <c r="E479" s="9" t="n">
        <v>45479</v>
      </c>
      <c r="F479" s="8" t="n">
        <f aca="true">IF(E479="","",ROUND((TODAY()-E479)/7,1))</f>
        <v>101.1</v>
      </c>
      <c r="G479" s="8" t="s">
        <v>38</v>
      </c>
      <c r="H479" s="8"/>
      <c r="I479" s="8" t="s">
        <v>759</v>
      </c>
      <c r="J479" s="8" t="s">
        <v>714</v>
      </c>
      <c r="K479" s="8" t="n">
        <v>3</v>
      </c>
      <c r="L479" s="10"/>
      <c r="M479" s="10"/>
      <c r="N479" s="10"/>
      <c r="O479" s="10" t="s">
        <v>73</v>
      </c>
      <c r="P479" s="8" t="str">
        <f aca="false">MID(IF(L479="","","; APP:"&amp;L479)&amp;IF(M479="","","; PS1:"&amp;M479)&amp;IF(N479="","","; AQP4:"&amp;N479)&amp;IF(O479="","","; CAG-EGFP:"&amp;O479),3,200)</f>
        <v>CAG-EGFP:+</v>
      </c>
      <c r="Q479" s="8" t="s">
        <v>47</v>
      </c>
      <c r="R479" s="8" t="s">
        <v>88</v>
      </c>
      <c r="S479" s="8"/>
      <c r="T479" s="8" t="s">
        <v>151</v>
      </c>
    </row>
    <row r="480" customFormat="false" ht="15" hidden="false" customHeight="false" outlineLevel="0" collapsed="false">
      <c r="A480" s="7" t="s">
        <v>766</v>
      </c>
      <c r="B480" s="8" t="s">
        <v>114</v>
      </c>
      <c r="C480" s="8" t="n">
        <v>75</v>
      </c>
      <c r="D480" s="8" t="s">
        <v>33</v>
      </c>
      <c r="E480" s="9" t="n">
        <v>45484</v>
      </c>
      <c r="F480" s="8" t="n">
        <f aca="true">IF(E480="","",ROUND((TODAY()-E480)/7,1))</f>
        <v>100.4</v>
      </c>
      <c r="G480" s="8" t="s">
        <v>38</v>
      </c>
      <c r="H480" s="8"/>
      <c r="I480" s="8" t="s">
        <v>626</v>
      </c>
      <c r="J480" s="8" t="s">
        <v>626</v>
      </c>
      <c r="K480" s="8" t="n">
        <v>4</v>
      </c>
      <c r="L480" s="10"/>
      <c r="M480" s="10"/>
      <c r="N480" s="10"/>
      <c r="O480" s="10" t="s">
        <v>73</v>
      </c>
      <c r="P480" s="8" t="str">
        <f aca="false">MID(IF(L480="","","; APP:"&amp;L480)&amp;IF(M480="","","; PS1:"&amp;M480)&amp;IF(N480="","","; AQP4:"&amp;N480)&amp;IF(O480="","","; CAG-EGFP:"&amp;O480),3,200)</f>
        <v>CAG-EGFP:+</v>
      </c>
      <c r="Q480" s="8" t="s">
        <v>47</v>
      </c>
      <c r="R480" s="8" t="s">
        <v>88</v>
      </c>
      <c r="S480" s="8"/>
      <c r="T480" s="8"/>
    </row>
    <row r="481" customFormat="false" ht="15" hidden="false" customHeight="false" outlineLevel="0" collapsed="false">
      <c r="A481" s="7" t="s">
        <v>767</v>
      </c>
      <c r="B481" s="8" t="s">
        <v>114</v>
      </c>
      <c r="C481" s="8" t="n">
        <v>76</v>
      </c>
      <c r="D481" s="8" t="s">
        <v>33</v>
      </c>
      <c r="E481" s="9" t="n">
        <v>45484</v>
      </c>
      <c r="F481" s="8" t="n">
        <f aca="true">IF(E481="","",ROUND((TODAY()-E481)/7,1))</f>
        <v>100.4</v>
      </c>
      <c r="G481" s="8" t="s">
        <v>38</v>
      </c>
      <c r="H481" s="8"/>
      <c r="I481" s="8" t="s">
        <v>626</v>
      </c>
      <c r="J481" s="8" t="s">
        <v>626</v>
      </c>
      <c r="K481" s="8" t="n">
        <v>4</v>
      </c>
      <c r="L481" s="10"/>
      <c r="M481" s="10"/>
      <c r="N481" s="10"/>
      <c r="O481" s="10" t="s">
        <v>73</v>
      </c>
      <c r="P481" s="8" t="str">
        <f aca="false">MID(IF(L481="","","; APP:"&amp;L481)&amp;IF(M481="","","; PS1:"&amp;M481)&amp;IF(N481="","","; AQP4:"&amp;N481)&amp;IF(O481="","","; CAG-EGFP:"&amp;O481),3,200)</f>
        <v>CAG-EGFP:+</v>
      </c>
      <c r="Q481" s="8" t="s">
        <v>47</v>
      </c>
      <c r="R481" s="8" t="s">
        <v>88</v>
      </c>
      <c r="S481" s="8"/>
      <c r="T481" s="8"/>
    </row>
    <row r="482" customFormat="false" ht="15" hidden="false" customHeight="false" outlineLevel="0" collapsed="false">
      <c r="A482" s="7" t="s">
        <v>768</v>
      </c>
      <c r="B482" s="8" t="s">
        <v>114</v>
      </c>
      <c r="C482" s="8" t="n">
        <v>77</v>
      </c>
      <c r="D482" s="8" t="s">
        <v>33</v>
      </c>
      <c r="E482" s="9" t="n">
        <v>45484</v>
      </c>
      <c r="F482" s="8" t="n">
        <f aca="true">IF(E482="","",ROUND((TODAY()-E482)/7,1))</f>
        <v>100.4</v>
      </c>
      <c r="G482" s="8" t="s">
        <v>38</v>
      </c>
      <c r="H482" s="8"/>
      <c r="I482" s="8" t="s">
        <v>626</v>
      </c>
      <c r="J482" s="8" t="s">
        <v>626</v>
      </c>
      <c r="K482" s="8" t="n">
        <v>4</v>
      </c>
      <c r="L482" s="10"/>
      <c r="M482" s="10"/>
      <c r="N482" s="10"/>
      <c r="O482" s="10" t="s">
        <v>73</v>
      </c>
      <c r="P482" s="8" t="str">
        <f aca="false">MID(IF(L482="","","; APP:"&amp;L482)&amp;IF(M482="","","; PS1:"&amp;M482)&amp;IF(N482="","","; AQP4:"&amp;N482)&amp;IF(O482="","","; CAG-EGFP:"&amp;O482),3,200)</f>
        <v>CAG-EGFP:+</v>
      </c>
      <c r="Q482" s="8" t="s">
        <v>47</v>
      </c>
      <c r="R482" s="8" t="s">
        <v>88</v>
      </c>
      <c r="S482" s="8"/>
      <c r="T482" s="8"/>
    </row>
    <row r="483" customFormat="false" ht="15" hidden="false" customHeight="false" outlineLevel="0" collapsed="false">
      <c r="A483" s="7" t="s">
        <v>769</v>
      </c>
      <c r="B483" s="8" t="s">
        <v>114</v>
      </c>
      <c r="C483" s="8" t="n">
        <v>78</v>
      </c>
      <c r="D483" s="8" t="s">
        <v>46</v>
      </c>
      <c r="E483" s="9" t="n">
        <v>45484</v>
      </c>
      <c r="F483" s="8" t="n">
        <f aca="true">IF(E483="","",ROUND((TODAY()-E483)/7,1))</f>
        <v>100.4</v>
      </c>
      <c r="G483" s="8" t="s">
        <v>38</v>
      </c>
      <c r="H483" s="8"/>
      <c r="I483" s="8" t="s">
        <v>626</v>
      </c>
      <c r="J483" s="8" t="s">
        <v>626</v>
      </c>
      <c r="K483" s="8" t="n">
        <v>4</v>
      </c>
      <c r="L483" s="10"/>
      <c r="M483" s="10"/>
      <c r="N483" s="10"/>
      <c r="O483" s="10" t="s">
        <v>73</v>
      </c>
      <c r="P483" s="8" t="str">
        <f aca="false">MID(IF(L483="","","; APP:"&amp;L483)&amp;IF(M483="","","; PS1:"&amp;M483)&amp;IF(N483="","","; AQP4:"&amp;N483)&amp;IF(O483="","","; CAG-EGFP:"&amp;O483),3,200)</f>
        <v>CAG-EGFP:+</v>
      </c>
      <c r="Q483" s="8" t="s">
        <v>47</v>
      </c>
      <c r="R483" s="8" t="s">
        <v>88</v>
      </c>
      <c r="S483" s="8"/>
      <c r="T483" s="8"/>
    </row>
    <row r="484" customFormat="false" ht="15" hidden="false" customHeight="false" outlineLevel="0" collapsed="false">
      <c r="A484" s="7" t="s">
        <v>770</v>
      </c>
      <c r="B484" s="8" t="s">
        <v>114</v>
      </c>
      <c r="C484" s="8" t="n">
        <v>79</v>
      </c>
      <c r="D484" s="8" t="s">
        <v>46</v>
      </c>
      <c r="E484" s="9" t="n">
        <v>45484</v>
      </c>
      <c r="F484" s="8" t="n">
        <f aca="true">IF(E484="","",ROUND((TODAY()-E484)/7,1))</f>
        <v>100.4</v>
      </c>
      <c r="G484" s="8" t="s">
        <v>38</v>
      </c>
      <c r="H484" s="8"/>
      <c r="I484" s="8" t="s">
        <v>626</v>
      </c>
      <c r="J484" s="8" t="s">
        <v>626</v>
      </c>
      <c r="K484" s="8" t="n">
        <v>4</v>
      </c>
      <c r="L484" s="10"/>
      <c r="M484" s="10"/>
      <c r="N484" s="10"/>
      <c r="O484" s="10" t="s">
        <v>73</v>
      </c>
      <c r="P484" s="8" t="str">
        <f aca="false">MID(IF(L484="","","; APP:"&amp;L484)&amp;IF(M484="","","; PS1:"&amp;M484)&amp;IF(N484="","","; AQP4:"&amp;N484)&amp;IF(O484="","","; CAG-EGFP:"&amp;O484),3,200)</f>
        <v>CAG-EGFP:+</v>
      </c>
      <c r="Q484" s="8" t="s">
        <v>47</v>
      </c>
      <c r="R484" s="8" t="s">
        <v>88</v>
      </c>
      <c r="S484" s="8"/>
      <c r="T484" s="8"/>
    </row>
    <row r="485" customFormat="false" ht="15" hidden="false" customHeight="false" outlineLevel="0" collapsed="false">
      <c r="A485" s="7" t="s">
        <v>771</v>
      </c>
      <c r="B485" s="8" t="s">
        <v>114</v>
      </c>
      <c r="C485" s="8" t="n">
        <v>80</v>
      </c>
      <c r="D485" s="8" t="s">
        <v>33</v>
      </c>
      <c r="E485" s="9" t="n">
        <v>45506</v>
      </c>
      <c r="F485" s="8" t="n">
        <f aca="true">IF(E485="","",ROUND((TODAY()-E485)/7,1))</f>
        <v>97.3</v>
      </c>
      <c r="G485" s="8" t="s">
        <v>38</v>
      </c>
      <c r="H485" s="8"/>
      <c r="I485" s="8" t="s">
        <v>721</v>
      </c>
      <c r="J485" s="8" t="s">
        <v>751</v>
      </c>
      <c r="K485" s="8" t="n">
        <v>3</v>
      </c>
      <c r="L485" s="10"/>
      <c r="M485" s="10"/>
      <c r="N485" s="10"/>
      <c r="O485" s="10" t="s">
        <v>73</v>
      </c>
      <c r="P485" s="8" t="str">
        <f aca="false">MID(IF(L485="","","; APP:"&amp;L485)&amp;IF(M485="","","; PS1:"&amp;M485)&amp;IF(N485="","","; AQP4:"&amp;N485)&amp;IF(O485="","","; CAG-EGFP:"&amp;O485),3,200)</f>
        <v>CAG-EGFP:+</v>
      </c>
      <c r="Q485" s="8" t="s">
        <v>47</v>
      </c>
      <c r="R485" s="8" t="s">
        <v>88</v>
      </c>
      <c r="S485" s="8"/>
      <c r="T485" s="8"/>
    </row>
    <row r="486" customFormat="false" ht="15" hidden="false" customHeight="false" outlineLevel="0" collapsed="false">
      <c r="A486" s="7" t="s">
        <v>772</v>
      </c>
      <c r="B486" s="8" t="s">
        <v>114</v>
      </c>
      <c r="C486" s="8" t="n">
        <v>81</v>
      </c>
      <c r="D486" s="8" t="s">
        <v>33</v>
      </c>
      <c r="E486" s="9" t="n">
        <v>45506</v>
      </c>
      <c r="F486" s="8" t="n">
        <f aca="true">IF(E486="","",ROUND((TODAY()-E486)/7,1))</f>
        <v>97.3</v>
      </c>
      <c r="G486" s="8" t="s">
        <v>38</v>
      </c>
      <c r="H486" s="8"/>
      <c r="I486" s="8" t="s">
        <v>721</v>
      </c>
      <c r="J486" s="8" t="s">
        <v>751</v>
      </c>
      <c r="K486" s="8" t="n">
        <v>3</v>
      </c>
      <c r="L486" s="10"/>
      <c r="M486" s="10"/>
      <c r="N486" s="10"/>
      <c r="O486" s="10" t="s">
        <v>73</v>
      </c>
      <c r="P486" s="8" t="str">
        <f aca="false">MID(IF(L486="","","; APP:"&amp;L486)&amp;IF(M486="","","; PS1:"&amp;M486)&amp;IF(N486="","","; AQP4:"&amp;N486)&amp;IF(O486="","","; CAG-EGFP:"&amp;O486),3,200)</f>
        <v>CAG-EGFP:+</v>
      </c>
      <c r="Q486" s="8" t="s">
        <v>47</v>
      </c>
      <c r="R486" s="8" t="s">
        <v>88</v>
      </c>
      <c r="S486" s="8"/>
      <c r="T486" s="8"/>
    </row>
    <row r="487" customFormat="false" ht="15" hidden="false" customHeight="false" outlineLevel="0" collapsed="false">
      <c r="A487" s="7" t="s">
        <v>773</v>
      </c>
      <c r="B487" s="8" t="s">
        <v>114</v>
      </c>
      <c r="C487" s="8" t="n">
        <v>82</v>
      </c>
      <c r="D487" s="8" t="s">
        <v>33</v>
      </c>
      <c r="E487" s="9" t="n">
        <v>45506</v>
      </c>
      <c r="F487" s="8" t="n">
        <f aca="true">IF(E487="","",ROUND((TODAY()-E487)/7,1))</f>
        <v>97.3</v>
      </c>
      <c r="G487" s="8" t="s">
        <v>38</v>
      </c>
      <c r="H487" s="8"/>
      <c r="I487" s="8" t="s">
        <v>721</v>
      </c>
      <c r="J487" s="8" t="s">
        <v>751</v>
      </c>
      <c r="K487" s="8" t="n">
        <v>3</v>
      </c>
      <c r="L487" s="10"/>
      <c r="M487" s="10"/>
      <c r="N487" s="10"/>
      <c r="O487" s="10" t="s">
        <v>73</v>
      </c>
      <c r="P487" s="8" t="str">
        <f aca="false">MID(IF(L487="","","; APP:"&amp;L487)&amp;IF(M487="","","; PS1:"&amp;M487)&amp;IF(N487="","","; AQP4:"&amp;N487)&amp;IF(O487="","","; CAG-EGFP:"&amp;O487),3,200)</f>
        <v>CAG-EGFP:+</v>
      </c>
      <c r="Q487" s="8" t="s">
        <v>47</v>
      </c>
      <c r="R487" s="8" t="s">
        <v>88</v>
      </c>
      <c r="S487" s="8"/>
      <c r="T487" s="8"/>
    </row>
    <row r="488" customFormat="false" ht="15" hidden="false" customHeight="false" outlineLevel="0" collapsed="false">
      <c r="A488" s="7" t="s">
        <v>774</v>
      </c>
      <c r="B488" s="8" t="s">
        <v>114</v>
      </c>
      <c r="C488" s="8" t="n">
        <v>83</v>
      </c>
      <c r="D488" s="8" t="s">
        <v>33</v>
      </c>
      <c r="E488" s="9" t="n">
        <v>45509</v>
      </c>
      <c r="F488" s="8" t="n">
        <f aca="true">IF(E488="","",ROUND((TODAY()-E488)/7,1))</f>
        <v>96.9</v>
      </c>
      <c r="G488" s="8" t="s">
        <v>38</v>
      </c>
      <c r="H488" s="8"/>
      <c r="I488" s="8" t="s">
        <v>759</v>
      </c>
      <c r="J488" s="8" t="s">
        <v>714</v>
      </c>
      <c r="K488" s="8" t="n">
        <v>3</v>
      </c>
      <c r="L488" s="10"/>
      <c r="M488" s="10"/>
      <c r="N488" s="10"/>
      <c r="O488" s="10" t="s">
        <v>73</v>
      </c>
      <c r="P488" s="8" t="str">
        <f aca="false">MID(IF(L488="","","; APP:"&amp;L488)&amp;IF(M488="","","; PS1:"&amp;M488)&amp;IF(N488="","","; AQP4:"&amp;N488)&amp;IF(O488="","","; CAG-EGFP:"&amp;O488),3,200)</f>
        <v>CAG-EGFP:+</v>
      </c>
      <c r="Q488" s="8" t="s">
        <v>47</v>
      </c>
      <c r="R488" s="8" t="s">
        <v>88</v>
      </c>
      <c r="S488" s="8"/>
      <c r="T488" s="8"/>
    </row>
    <row r="489" customFormat="false" ht="15" hidden="false" customHeight="false" outlineLevel="0" collapsed="false">
      <c r="A489" s="7" t="s">
        <v>775</v>
      </c>
      <c r="B489" s="8" t="s">
        <v>114</v>
      </c>
      <c r="C489" s="8" t="n">
        <v>84</v>
      </c>
      <c r="D489" s="8" t="s">
        <v>46</v>
      </c>
      <c r="E489" s="9" t="n">
        <v>45509</v>
      </c>
      <c r="F489" s="8" t="n">
        <f aca="true">IF(E489="","",ROUND((TODAY()-E489)/7,1))</f>
        <v>96.9</v>
      </c>
      <c r="G489" s="8" t="s">
        <v>38</v>
      </c>
      <c r="H489" s="8"/>
      <c r="I489" s="8" t="s">
        <v>759</v>
      </c>
      <c r="J489" s="8" t="s">
        <v>714</v>
      </c>
      <c r="K489" s="8" t="n">
        <v>3</v>
      </c>
      <c r="L489" s="10"/>
      <c r="M489" s="10"/>
      <c r="N489" s="10"/>
      <c r="O489" s="10" t="s">
        <v>73</v>
      </c>
      <c r="P489" s="8" t="str">
        <f aca="false">MID(IF(L489="","","; APP:"&amp;L489)&amp;IF(M489="","","; PS1:"&amp;M489)&amp;IF(N489="","","; AQP4:"&amp;N489)&amp;IF(O489="","","; CAG-EGFP:"&amp;O489),3,200)</f>
        <v>CAG-EGFP:+</v>
      </c>
      <c r="Q489" s="8" t="s">
        <v>47</v>
      </c>
      <c r="R489" s="8" t="s">
        <v>88</v>
      </c>
      <c r="S489" s="8"/>
      <c r="T489" s="8"/>
    </row>
    <row r="490" customFormat="false" ht="15" hidden="false" customHeight="false" outlineLevel="0" collapsed="false">
      <c r="A490" s="7" t="s">
        <v>776</v>
      </c>
      <c r="B490" s="8" t="s">
        <v>114</v>
      </c>
      <c r="C490" s="8" t="n">
        <v>85</v>
      </c>
      <c r="D490" s="8" t="s">
        <v>33</v>
      </c>
      <c r="E490" s="9" t="n">
        <v>45532</v>
      </c>
      <c r="F490" s="8" t="n">
        <f aca="true">IF(E490="","",ROUND((TODAY()-E490)/7,1))</f>
        <v>93.6</v>
      </c>
      <c r="G490" s="8" t="s">
        <v>38</v>
      </c>
      <c r="H490" s="8"/>
      <c r="I490" s="8" t="s">
        <v>759</v>
      </c>
      <c r="J490" s="8" t="s">
        <v>714</v>
      </c>
      <c r="K490" s="8" t="n">
        <v>3</v>
      </c>
      <c r="L490" s="10"/>
      <c r="M490" s="10"/>
      <c r="N490" s="10"/>
      <c r="O490" s="10" t="s">
        <v>73</v>
      </c>
      <c r="P490" s="8" t="str">
        <f aca="false">MID(IF(L490="","","; APP:"&amp;L490)&amp;IF(M490="","","; PS1:"&amp;M490)&amp;IF(N490="","","; AQP4:"&amp;N490)&amp;IF(O490="","","; CAG-EGFP:"&amp;O490),3,200)</f>
        <v>CAG-EGFP:+</v>
      </c>
      <c r="Q490" s="8" t="s">
        <v>47</v>
      </c>
      <c r="R490" s="8" t="s">
        <v>88</v>
      </c>
      <c r="S490" s="8"/>
      <c r="T490" s="8" t="s">
        <v>151</v>
      </c>
    </row>
    <row r="491" customFormat="false" ht="15" hidden="false" customHeight="false" outlineLevel="0" collapsed="false">
      <c r="A491" s="7" t="s">
        <v>777</v>
      </c>
      <c r="B491" s="8" t="s">
        <v>114</v>
      </c>
      <c r="C491" s="8" t="n">
        <v>86</v>
      </c>
      <c r="D491" s="8" t="s">
        <v>33</v>
      </c>
      <c r="E491" s="9" t="n">
        <v>45532</v>
      </c>
      <c r="F491" s="8" t="n">
        <f aca="true">IF(E491="","",ROUND((TODAY()-E491)/7,1))</f>
        <v>93.6</v>
      </c>
      <c r="G491" s="8" t="s">
        <v>38</v>
      </c>
      <c r="H491" s="8"/>
      <c r="I491" s="8" t="s">
        <v>759</v>
      </c>
      <c r="J491" s="8" t="s">
        <v>714</v>
      </c>
      <c r="K491" s="8" t="n">
        <v>3</v>
      </c>
      <c r="L491" s="10"/>
      <c r="M491" s="10"/>
      <c r="N491" s="10"/>
      <c r="O491" s="10" t="s">
        <v>73</v>
      </c>
      <c r="P491" s="8" t="str">
        <f aca="false">MID(IF(L491="","","; APP:"&amp;L491)&amp;IF(M491="","","; PS1:"&amp;M491)&amp;IF(N491="","","; AQP4:"&amp;N491)&amp;IF(O491="","","; CAG-EGFP:"&amp;O491),3,200)</f>
        <v>CAG-EGFP:+</v>
      </c>
      <c r="Q491" s="8" t="s">
        <v>47</v>
      </c>
      <c r="R491" s="8" t="s">
        <v>88</v>
      </c>
      <c r="S491" s="8"/>
      <c r="T491" s="8" t="s">
        <v>151</v>
      </c>
    </row>
    <row r="492" customFormat="false" ht="15" hidden="false" customHeight="false" outlineLevel="0" collapsed="false">
      <c r="A492" s="7" t="s">
        <v>778</v>
      </c>
      <c r="B492" s="8" t="s">
        <v>114</v>
      </c>
      <c r="C492" s="8" t="n">
        <v>87</v>
      </c>
      <c r="D492" s="8" t="s">
        <v>33</v>
      </c>
      <c r="E492" s="9" t="n">
        <v>45532</v>
      </c>
      <c r="F492" s="8" t="n">
        <f aca="true">IF(E492="","",ROUND((TODAY()-E492)/7,1))</f>
        <v>93.6</v>
      </c>
      <c r="G492" s="8" t="s">
        <v>38</v>
      </c>
      <c r="H492" s="8"/>
      <c r="I492" s="8" t="s">
        <v>759</v>
      </c>
      <c r="J492" s="8" t="s">
        <v>714</v>
      </c>
      <c r="K492" s="8" t="n">
        <v>3</v>
      </c>
      <c r="L492" s="10"/>
      <c r="M492" s="10"/>
      <c r="N492" s="10"/>
      <c r="O492" s="10" t="s">
        <v>73</v>
      </c>
      <c r="P492" s="8" t="str">
        <f aca="false">MID(IF(L492="","","; APP:"&amp;L492)&amp;IF(M492="","","; PS1:"&amp;M492)&amp;IF(N492="","","; AQP4:"&amp;N492)&amp;IF(O492="","","; CAG-EGFP:"&amp;O492),3,200)</f>
        <v>CAG-EGFP:+</v>
      </c>
      <c r="Q492" s="8" t="s">
        <v>47</v>
      </c>
      <c r="R492" s="8" t="s">
        <v>88</v>
      </c>
      <c r="S492" s="8"/>
      <c r="T492" s="8" t="s">
        <v>151</v>
      </c>
    </row>
    <row r="493" customFormat="false" ht="15" hidden="false" customHeight="false" outlineLevel="0" collapsed="false">
      <c r="A493" s="7" t="s">
        <v>779</v>
      </c>
      <c r="B493" s="8" t="s">
        <v>114</v>
      </c>
      <c r="C493" s="8" t="n">
        <v>88</v>
      </c>
      <c r="D493" s="8" t="s">
        <v>33</v>
      </c>
      <c r="E493" s="9" t="n">
        <v>45532</v>
      </c>
      <c r="F493" s="8" t="n">
        <f aca="true">IF(E493="","",ROUND((TODAY()-E493)/7,1))</f>
        <v>93.6</v>
      </c>
      <c r="G493" s="8" t="s">
        <v>38</v>
      </c>
      <c r="H493" s="8"/>
      <c r="I493" s="8" t="s">
        <v>759</v>
      </c>
      <c r="J493" s="8" t="s">
        <v>714</v>
      </c>
      <c r="K493" s="8" t="n">
        <v>3</v>
      </c>
      <c r="L493" s="10"/>
      <c r="M493" s="10"/>
      <c r="N493" s="10"/>
      <c r="O493" s="10" t="s">
        <v>73</v>
      </c>
      <c r="P493" s="8" t="str">
        <f aca="false">MID(IF(L493="","","; APP:"&amp;L493)&amp;IF(M493="","","; PS1:"&amp;M493)&amp;IF(N493="","","; AQP4:"&amp;N493)&amp;IF(O493="","","; CAG-EGFP:"&amp;O493),3,200)</f>
        <v>CAG-EGFP:+</v>
      </c>
      <c r="Q493" s="8" t="s">
        <v>47</v>
      </c>
      <c r="R493" s="8" t="s">
        <v>88</v>
      </c>
      <c r="S493" s="8"/>
      <c r="T493" s="8" t="s">
        <v>151</v>
      </c>
    </row>
    <row r="494" customFormat="false" ht="15" hidden="false" customHeight="false" outlineLevel="0" collapsed="false">
      <c r="A494" s="7" t="s">
        <v>780</v>
      </c>
      <c r="B494" s="8" t="s">
        <v>114</v>
      </c>
      <c r="C494" s="8" t="n">
        <v>89</v>
      </c>
      <c r="D494" s="8" t="s">
        <v>46</v>
      </c>
      <c r="E494" s="9" t="n">
        <v>45532</v>
      </c>
      <c r="F494" s="8" t="n">
        <f aca="true">IF(E494="","",ROUND((TODAY()-E494)/7,1))</f>
        <v>93.6</v>
      </c>
      <c r="G494" s="8" t="s">
        <v>38</v>
      </c>
      <c r="H494" s="8"/>
      <c r="I494" s="8" t="s">
        <v>759</v>
      </c>
      <c r="J494" s="8" t="s">
        <v>714</v>
      </c>
      <c r="K494" s="8" t="n">
        <v>3</v>
      </c>
      <c r="L494" s="10"/>
      <c r="M494" s="10"/>
      <c r="N494" s="10"/>
      <c r="O494" s="10" t="s">
        <v>73</v>
      </c>
      <c r="P494" s="8" t="str">
        <f aca="false">MID(IF(L494="","","; APP:"&amp;L494)&amp;IF(M494="","","; PS1:"&amp;M494)&amp;IF(N494="","","; AQP4:"&amp;N494)&amp;IF(O494="","","; CAG-EGFP:"&amp;O494),3,200)</f>
        <v>CAG-EGFP:+</v>
      </c>
      <c r="Q494" s="8" t="s">
        <v>47</v>
      </c>
      <c r="R494" s="8" t="s">
        <v>88</v>
      </c>
      <c r="S494" s="8"/>
      <c r="T494" s="8"/>
    </row>
    <row r="495" customFormat="false" ht="15" hidden="false" customHeight="false" outlineLevel="0" collapsed="false">
      <c r="A495" s="7" t="s">
        <v>781</v>
      </c>
      <c r="B495" s="8" t="s">
        <v>114</v>
      </c>
      <c r="C495" s="8" t="n">
        <v>90</v>
      </c>
      <c r="D495" s="8" t="s">
        <v>46</v>
      </c>
      <c r="E495" s="9" t="n">
        <v>45532</v>
      </c>
      <c r="F495" s="8" t="n">
        <f aca="true">IF(E495="","",ROUND((TODAY()-E495)/7,1))</f>
        <v>93.6</v>
      </c>
      <c r="G495" s="8" t="s">
        <v>38</v>
      </c>
      <c r="H495" s="8"/>
      <c r="I495" s="8" t="s">
        <v>759</v>
      </c>
      <c r="J495" s="8" t="s">
        <v>714</v>
      </c>
      <c r="K495" s="8" t="n">
        <v>3</v>
      </c>
      <c r="L495" s="10"/>
      <c r="M495" s="10"/>
      <c r="N495" s="10"/>
      <c r="O495" s="10" t="s">
        <v>73</v>
      </c>
      <c r="P495" s="8" t="str">
        <f aca="false">MID(IF(L495="","","; APP:"&amp;L495)&amp;IF(M495="","","; PS1:"&amp;M495)&amp;IF(N495="","","; AQP4:"&amp;N495)&amp;IF(O495="","","; CAG-EGFP:"&amp;O495),3,200)</f>
        <v>CAG-EGFP:+</v>
      </c>
      <c r="Q495" s="8" t="s">
        <v>47</v>
      </c>
      <c r="R495" s="8" t="s">
        <v>88</v>
      </c>
      <c r="S495" s="8"/>
      <c r="T495" s="8" t="s">
        <v>151</v>
      </c>
    </row>
    <row r="496" customFormat="false" ht="15" hidden="false" customHeight="false" outlineLevel="0" collapsed="false">
      <c r="A496" s="7" t="s">
        <v>782</v>
      </c>
      <c r="B496" s="8" t="s">
        <v>114</v>
      </c>
      <c r="C496" s="8" t="n">
        <v>91</v>
      </c>
      <c r="D496" s="8" t="s">
        <v>33</v>
      </c>
      <c r="E496" s="9" t="n">
        <v>45559</v>
      </c>
      <c r="F496" s="8" t="n">
        <f aca="true">IF(E496="","",ROUND((TODAY()-E496)/7,1))</f>
        <v>89.7</v>
      </c>
      <c r="G496" s="8" t="s">
        <v>38</v>
      </c>
      <c r="H496" s="8"/>
      <c r="I496" s="8" t="s">
        <v>721</v>
      </c>
      <c r="J496" s="8" t="s">
        <v>751</v>
      </c>
      <c r="K496" s="8" t="n">
        <v>3</v>
      </c>
      <c r="L496" s="10"/>
      <c r="M496" s="10"/>
      <c r="N496" s="10"/>
      <c r="O496" s="10" t="s">
        <v>73</v>
      </c>
      <c r="P496" s="8" t="str">
        <f aca="false">MID(IF(L496="","","; APP:"&amp;L496)&amp;IF(M496="","","; PS1:"&amp;M496)&amp;IF(N496="","","; AQP4:"&amp;N496)&amp;IF(O496="","","; CAG-EGFP:"&amp;O496),3,200)</f>
        <v>CAG-EGFP:+</v>
      </c>
      <c r="Q496" s="8" t="s">
        <v>47</v>
      </c>
      <c r="R496" s="8" t="s">
        <v>88</v>
      </c>
      <c r="S496" s="8"/>
      <c r="T496" s="8"/>
    </row>
    <row r="497" customFormat="false" ht="15" hidden="false" customHeight="false" outlineLevel="0" collapsed="false">
      <c r="A497" s="7" t="s">
        <v>783</v>
      </c>
      <c r="B497" s="8" t="s">
        <v>114</v>
      </c>
      <c r="C497" s="8" t="n">
        <v>92</v>
      </c>
      <c r="D497" s="8" t="s">
        <v>33</v>
      </c>
      <c r="E497" s="9" t="n">
        <v>45559</v>
      </c>
      <c r="F497" s="8" t="n">
        <f aca="true">IF(E497="","",ROUND((TODAY()-E497)/7,1))</f>
        <v>89.7</v>
      </c>
      <c r="G497" s="8" t="s">
        <v>38</v>
      </c>
      <c r="H497" s="8"/>
      <c r="I497" s="8" t="s">
        <v>721</v>
      </c>
      <c r="J497" s="8" t="s">
        <v>751</v>
      </c>
      <c r="K497" s="8" t="n">
        <v>3</v>
      </c>
      <c r="L497" s="10"/>
      <c r="M497" s="10"/>
      <c r="N497" s="10"/>
      <c r="O497" s="10" t="s">
        <v>73</v>
      </c>
      <c r="P497" s="8" t="str">
        <f aca="false">MID(IF(L497="","","; APP:"&amp;L497)&amp;IF(M497="","","; PS1:"&amp;M497)&amp;IF(N497="","","; AQP4:"&amp;N497)&amp;IF(O497="","","; CAG-EGFP:"&amp;O497),3,200)</f>
        <v>CAG-EGFP:+</v>
      </c>
      <c r="Q497" s="8" t="s">
        <v>47</v>
      </c>
      <c r="R497" s="8" t="s">
        <v>88</v>
      </c>
      <c r="S497" s="8"/>
      <c r="T497" s="8"/>
    </row>
    <row r="498" customFormat="false" ht="15" hidden="false" customHeight="false" outlineLevel="0" collapsed="false">
      <c r="A498" s="7" t="s">
        <v>784</v>
      </c>
      <c r="B498" s="8" t="s">
        <v>114</v>
      </c>
      <c r="C498" s="8" t="n">
        <v>93</v>
      </c>
      <c r="D498" s="8" t="s">
        <v>33</v>
      </c>
      <c r="E498" s="9" t="n">
        <v>45559</v>
      </c>
      <c r="F498" s="8" t="n">
        <f aca="true">IF(E498="","",ROUND((TODAY()-E498)/7,1))</f>
        <v>89.7</v>
      </c>
      <c r="G498" s="8" t="s">
        <v>38</v>
      </c>
      <c r="H498" s="8"/>
      <c r="I498" s="8" t="s">
        <v>721</v>
      </c>
      <c r="J498" s="8" t="s">
        <v>751</v>
      </c>
      <c r="K498" s="8" t="n">
        <v>3</v>
      </c>
      <c r="L498" s="10"/>
      <c r="M498" s="10"/>
      <c r="N498" s="10"/>
      <c r="O498" s="10" t="s">
        <v>73</v>
      </c>
      <c r="P498" s="8" t="str">
        <f aca="false">MID(IF(L498="","","; APP:"&amp;L498)&amp;IF(M498="","","; PS1:"&amp;M498)&amp;IF(N498="","","; AQP4:"&amp;N498)&amp;IF(O498="","","; CAG-EGFP:"&amp;O498),3,200)</f>
        <v>CAG-EGFP:+</v>
      </c>
      <c r="Q498" s="8" t="s">
        <v>47</v>
      </c>
      <c r="R498" s="8" t="s">
        <v>88</v>
      </c>
      <c r="S498" s="8"/>
      <c r="T498" s="8"/>
    </row>
    <row r="499" customFormat="false" ht="15" hidden="false" customHeight="false" outlineLevel="0" collapsed="false">
      <c r="A499" s="7" t="s">
        <v>785</v>
      </c>
      <c r="B499" s="8" t="s">
        <v>114</v>
      </c>
      <c r="C499" s="8" t="n">
        <v>94</v>
      </c>
      <c r="D499" s="8" t="s">
        <v>33</v>
      </c>
      <c r="E499" s="9" t="n">
        <v>45559</v>
      </c>
      <c r="F499" s="8" t="n">
        <f aca="true">IF(E499="","",ROUND((TODAY()-E499)/7,1))</f>
        <v>89.7</v>
      </c>
      <c r="G499" s="8" t="s">
        <v>38</v>
      </c>
      <c r="H499" s="8"/>
      <c r="I499" s="8" t="s">
        <v>721</v>
      </c>
      <c r="J499" s="8" t="s">
        <v>751</v>
      </c>
      <c r="K499" s="8" t="n">
        <v>3</v>
      </c>
      <c r="L499" s="10"/>
      <c r="M499" s="10"/>
      <c r="N499" s="10"/>
      <c r="O499" s="10" t="s">
        <v>73</v>
      </c>
      <c r="P499" s="8" t="str">
        <f aca="false">MID(IF(L499="","","; APP:"&amp;L499)&amp;IF(M499="","","; PS1:"&amp;M499)&amp;IF(N499="","","; AQP4:"&amp;N499)&amp;IF(O499="","","; CAG-EGFP:"&amp;O499),3,200)</f>
        <v>CAG-EGFP:+</v>
      </c>
      <c r="Q499" s="8" t="s">
        <v>47</v>
      </c>
      <c r="R499" s="8" t="s">
        <v>88</v>
      </c>
      <c r="S499" s="8"/>
      <c r="T499" s="8"/>
    </row>
    <row r="500" customFormat="false" ht="15" hidden="false" customHeight="false" outlineLevel="0" collapsed="false">
      <c r="A500" s="7" t="s">
        <v>786</v>
      </c>
      <c r="B500" s="8" t="s">
        <v>114</v>
      </c>
      <c r="C500" s="8" t="n">
        <v>95</v>
      </c>
      <c r="D500" s="8" t="s">
        <v>33</v>
      </c>
      <c r="E500" s="9" t="n">
        <v>45559</v>
      </c>
      <c r="F500" s="8" t="n">
        <f aca="true">IF(E500="","",ROUND((TODAY()-E500)/7,1))</f>
        <v>89.7</v>
      </c>
      <c r="G500" s="8" t="s">
        <v>38</v>
      </c>
      <c r="H500" s="8"/>
      <c r="I500" s="8" t="s">
        <v>721</v>
      </c>
      <c r="J500" s="8" t="s">
        <v>751</v>
      </c>
      <c r="K500" s="8" t="n">
        <v>3</v>
      </c>
      <c r="L500" s="10"/>
      <c r="M500" s="10"/>
      <c r="N500" s="10"/>
      <c r="O500" s="10" t="s">
        <v>73</v>
      </c>
      <c r="P500" s="8" t="str">
        <f aca="false">MID(IF(L500="","","; APP:"&amp;L500)&amp;IF(M500="","","; PS1:"&amp;M500)&amp;IF(N500="","","; AQP4:"&amp;N500)&amp;IF(O500="","","; CAG-EGFP:"&amp;O500),3,200)</f>
        <v>CAG-EGFP:+</v>
      </c>
      <c r="Q500" s="8" t="s">
        <v>47</v>
      </c>
      <c r="R500" s="8" t="s">
        <v>88</v>
      </c>
      <c r="S500" s="8"/>
      <c r="T500" s="8"/>
    </row>
    <row r="501" customFormat="false" ht="15" hidden="false" customHeight="false" outlineLevel="0" collapsed="false">
      <c r="A501" s="7" t="s">
        <v>787</v>
      </c>
      <c r="B501" s="8" t="s">
        <v>114</v>
      </c>
      <c r="C501" s="8" t="n">
        <v>96</v>
      </c>
      <c r="D501" s="8" t="s">
        <v>46</v>
      </c>
      <c r="E501" s="9" t="n">
        <v>45559</v>
      </c>
      <c r="F501" s="8" t="n">
        <f aca="true">IF(E501="","",ROUND((TODAY()-E501)/7,1))</f>
        <v>89.7</v>
      </c>
      <c r="G501" s="8" t="s">
        <v>38</v>
      </c>
      <c r="H501" s="8"/>
      <c r="I501" s="8" t="s">
        <v>721</v>
      </c>
      <c r="J501" s="8" t="s">
        <v>751</v>
      </c>
      <c r="K501" s="8" t="n">
        <v>3</v>
      </c>
      <c r="L501" s="10"/>
      <c r="M501" s="10"/>
      <c r="N501" s="10"/>
      <c r="O501" s="10" t="s">
        <v>73</v>
      </c>
      <c r="P501" s="8" t="str">
        <f aca="false">MID(IF(L501="","","; APP:"&amp;L501)&amp;IF(M501="","","; PS1:"&amp;M501)&amp;IF(N501="","","; AQP4:"&amp;N501)&amp;IF(O501="","","; CAG-EGFP:"&amp;O501),3,200)</f>
        <v>CAG-EGFP:+</v>
      </c>
      <c r="Q501" s="8" t="s">
        <v>47</v>
      </c>
      <c r="R501" s="8" t="s">
        <v>88</v>
      </c>
      <c r="S501" s="8"/>
      <c r="T501" s="8" t="s">
        <v>151</v>
      </c>
    </row>
    <row r="502" customFormat="false" ht="15" hidden="false" customHeight="false" outlineLevel="0" collapsed="false">
      <c r="A502" s="7" t="s">
        <v>788</v>
      </c>
      <c r="B502" s="8" t="s">
        <v>114</v>
      </c>
      <c r="C502" s="8" t="n">
        <v>97</v>
      </c>
      <c r="D502" s="8" t="s">
        <v>46</v>
      </c>
      <c r="E502" s="9" t="n">
        <v>45559</v>
      </c>
      <c r="F502" s="8" t="n">
        <f aca="true">IF(E502="","",ROUND((TODAY()-E502)/7,1))</f>
        <v>89.7</v>
      </c>
      <c r="G502" s="8" t="s">
        <v>38</v>
      </c>
      <c r="H502" s="8"/>
      <c r="I502" s="8" t="s">
        <v>721</v>
      </c>
      <c r="J502" s="8" t="s">
        <v>751</v>
      </c>
      <c r="K502" s="8" t="n">
        <v>3</v>
      </c>
      <c r="L502" s="10"/>
      <c r="M502" s="10"/>
      <c r="N502" s="10"/>
      <c r="O502" s="10" t="s">
        <v>73</v>
      </c>
      <c r="P502" s="8" t="str">
        <f aca="false">MID(IF(L502="","","; APP:"&amp;L502)&amp;IF(M502="","","; PS1:"&amp;M502)&amp;IF(N502="","","; AQP4:"&amp;N502)&amp;IF(O502="","","; CAG-EGFP:"&amp;O502),3,200)</f>
        <v>CAG-EGFP:+</v>
      </c>
      <c r="Q502" s="8" t="s">
        <v>47</v>
      </c>
      <c r="R502" s="8" t="s">
        <v>88</v>
      </c>
      <c r="S502" s="8"/>
      <c r="T502" s="8" t="s">
        <v>151</v>
      </c>
    </row>
    <row r="503" customFormat="false" ht="15" hidden="false" customHeight="false" outlineLevel="0" collapsed="false">
      <c r="A503" s="7" t="s">
        <v>789</v>
      </c>
      <c r="B503" s="8" t="s">
        <v>114</v>
      </c>
      <c r="C503" s="8" t="n">
        <v>98</v>
      </c>
      <c r="D503" s="8" t="s">
        <v>46</v>
      </c>
      <c r="E503" s="9" t="n">
        <v>45559</v>
      </c>
      <c r="F503" s="8" t="n">
        <f aca="true">IF(E503="","",ROUND((TODAY()-E503)/7,1))</f>
        <v>89.7</v>
      </c>
      <c r="G503" s="8" t="s">
        <v>38</v>
      </c>
      <c r="H503" s="8"/>
      <c r="I503" s="8" t="s">
        <v>721</v>
      </c>
      <c r="J503" s="8" t="s">
        <v>751</v>
      </c>
      <c r="K503" s="8" t="n">
        <v>3</v>
      </c>
      <c r="L503" s="10"/>
      <c r="M503" s="10"/>
      <c r="N503" s="10"/>
      <c r="O503" s="10" t="s">
        <v>73</v>
      </c>
      <c r="P503" s="8" t="str">
        <f aca="false">MID(IF(L503="","","; APP:"&amp;L503)&amp;IF(M503="","","; PS1:"&amp;M503)&amp;IF(N503="","","; AQP4:"&amp;N503)&amp;IF(O503="","","; CAG-EGFP:"&amp;O503),3,200)</f>
        <v>CAG-EGFP:+</v>
      </c>
      <c r="Q503" s="8" t="s">
        <v>47</v>
      </c>
      <c r="R503" s="8" t="s">
        <v>88</v>
      </c>
      <c r="S503" s="8"/>
      <c r="T503" s="8" t="s">
        <v>151</v>
      </c>
    </row>
    <row r="504" customFormat="false" ht="15" hidden="false" customHeight="false" outlineLevel="0" collapsed="false">
      <c r="A504" s="7" t="s">
        <v>790</v>
      </c>
      <c r="B504" s="8" t="s">
        <v>114</v>
      </c>
      <c r="C504" s="8" t="n">
        <v>99</v>
      </c>
      <c r="D504" s="8" t="s">
        <v>46</v>
      </c>
      <c r="E504" s="9" t="n">
        <v>45559</v>
      </c>
      <c r="F504" s="8" t="n">
        <f aca="true">IF(E504="","",ROUND((TODAY()-E504)/7,1))</f>
        <v>89.7</v>
      </c>
      <c r="G504" s="8" t="s">
        <v>38</v>
      </c>
      <c r="H504" s="8"/>
      <c r="I504" s="8" t="s">
        <v>721</v>
      </c>
      <c r="J504" s="8" t="s">
        <v>751</v>
      </c>
      <c r="K504" s="8" t="n">
        <v>3</v>
      </c>
      <c r="L504" s="10"/>
      <c r="M504" s="10"/>
      <c r="N504" s="10"/>
      <c r="O504" s="10" t="s">
        <v>73</v>
      </c>
      <c r="P504" s="8" t="str">
        <f aca="false">MID(IF(L504="","","; APP:"&amp;L504)&amp;IF(M504="","","; PS1:"&amp;M504)&amp;IF(N504="","","; AQP4:"&amp;N504)&amp;IF(O504="","","; CAG-EGFP:"&amp;O504),3,200)</f>
        <v>CAG-EGFP:+</v>
      </c>
      <c r="Q504" s="8" t="s">
        <v>47</v>
      </c>
      <c r="R504" s="8" t="s">
        <v>88</v>
      </c>
      <c r="S504" s="8"/>
      <c r="T504" s="8" t="s">
        <v>151</v>
      </c>
    </row>
    <row r="505" customFormat="false" ht="15" hidden="false" customHeight="false" outlineLevel="0" collapsed="false">
      <c r="A505" s="7" t="s">
        <v>791</v>
      </c>
      <c r="B505" s="8" t="s">
        <v>114</v>
      </c>
      <c r="C505" s="8" t="n">
        <v>100</v>
      </c>
      <c r="D505" s="8" t="s">
        <v>33</v>
      </c>
      <c r="E505" s="9" t="n">
        <v>45632</v>
      </c>
      <c r="F505" s="8" t="n">
        <f aca="true">IF(E505="","",ROUND((TODAY()-E505)/7,1))</f>
        <v>79.3</v>
      </c>
      <c r="G505" s="8" t="s">
        <v>38</v>
      </c>
      <c r="H505" s="8"/>
      <c r="I505" s="8" t="s">
        <v>615</v>
      </c>
      <c r="J505" s="8" t="s">
        <v>616</v>
      </c>
      <c r="K505" s="8" t="n">
        <v>4</v>
      </c>
      <c r="L505" s="10"/>
      <c r="M505" s="10"/>
      <c r="N505" s="10"/>
      <c r="O505" s="10" t="s">
        <v>73</v>
      </c>
      <c r="P505" s="8" t="str">
        <f aca="false">MID(IF(L505="","","; APP:"&amp;L505)&amp;IF(M505="","","; PS1:"&amp;M505)&amp;IF(N505="","","; AQP4:"&amp;N505)&amp;IF(O505="","","; CAG-EGFP:"&amp;O505),3,200)</f>
        <v>CAG-EGFP:+</v>
      </c>
      <c r="Q505" s="8" t="s">
        <v>47</v>
      </c>
      <c r="R505" s="8" t="s">
        <v>88</v>
      </c>
      <c r="S505" s="8"/>
      <c r="T505" s="8"/>
    </row>
    <row r="506" customFormat="false" ht="15" hidden="false" customHeight="false" outlineLevel="0" collapsed="false">
      <c r="A506" s="7" t="s">
        <v>792</v>
      </c>
      <c r="B506" s="8" t="s">
        <v>114</v>
      </c>
      <c r="C506" s="8" t="n">
        <v>101</v>
      </c>
      <c r="D506" s="8" t="s">
        <v>33</v>
      </c>
      <c r="E506" s="9" t="n">
        <v>45632</v>
      </c>
      <c r="F506" s="8" t="n">
        <f aca="true">IF(E506="","",ROUND((TODAY()-E506)/7,1))</f>
        <v>79.3</v>
      </c>
      <c r="G506" s="8" t="s">
        <v>38</v>
      </c>
      <c r="H506" s="8"/>
      <c r="I506" s="8" t="s">
        <v>615</v>
      </c>
      <c r="J506" s="8" t="s">
        <v>616</v>
      </c>
      <c r="K506" s="8" t="n">
        <v>4</v>
      </c>
      <c r="L506" s="10"/>
      <c r="M506" s="10"/>
      <c r="N506" s="10"/>
      <c r="O506" s="10" t="s">
        <v>73</v>
      </c>
      <c r="P506" s="8" t="str">
        <f aca="false">MID(IF(L506="","","; APP:"&amp;L506)&amp;IF(M506="","","; PS1:"&amp;M506)&amp;IF(N506="","","; AQP4:"&amp;N506)&amp;IF(O506="","","; CAG-EGFP:"&amp;O506),3,200)</f>
        <v>CAG-EGFP:+</v>
      </c>
      <c r="Q506" s="8" t="s">
        <v>47</v>
      </c>
      <c r="R506" s="8" t="s">
        <v>88</v>
      </c>
      <c r="S506" s="8"/>
      <c r="T506" s="8"/>
    </row>
    <row r="507" customFormat="false" ht="15" hidden="false" customHeight="false" outlineLevel="0" collapsed="false">
      <c r="A507" s="7" t="s">
        <v>793</v>
      </c>
      <c r="B507" s="8" t="s">
        <v>114</v>
      </c>
      <c r="C507" s="8" t="n">
        <v>102</v>
      </c>
      <c r="D507" s="8" t="s">
        <v>33</v>
      </c>
      <c r="E507" s="9" t="n">
        <v>45632</v>
      </c>
      <c r="F507" s="8" t="n">
        <f aca="true">IF(E507="","",ROUND((TODAY()-E507)/7,1))</f>
        <v>79.3</v>
      </c>
      <c r="G507" s="8" t="s">
        <v>38</v>
      </c>
      <c r="H507" s="8"/>
      <c r="I507" s="8" t="s">
        <v>615</v>
      </c>
      <c r="J507" s="8" t="s">
        <v>616</v>
      </c>
      <c r="K507" s="8" t="n">
        <v>4</v>
      </c>
      <c r="L507" s="10"/>
      <c r="M507" s="10"/>
      <c r="N507" s="10"/>
      <c r="O507" s="10" t="s">
        <v>73</v>
      </c>
      <c r="P507" s="8" t="str">
        <f aca="false">MID(IF(L507="","","; APP:"&amp;L507)&amp;IF(M507="","","; PS1:"&amp;M507)&amp;IF(N507="","","; AQP4:"&amp;N507)&amp;IF(O507="","","; CAG-EGFP:"&amp;O507),3,200)</f>
        <v>CAG-EGFP:+</v>
      </c>
      <c r="Q507" s="8" t="s">
        <v>47</v>
      </c>
      <c r="R507" s="8" t="s">
        <v>88</v>
      </c>
      <c r="S507" s="8"/>
      <c r="T507" s="8"/>
    </row>
    <row r="508" customFormat="false" ht="15" hidden="false" customHeight="false" outlineLevel="0" collapsed="false">
      <c r="A508" s="7" t="s">
        <v>794</v>
      </c>
      <c r="B508" s="8" t="s">
        <v>114</v>
      </c>
      <c r="C508" s="8" t="n">
        <v>103</v>
      </c>
      <c r="D508" s="8" t="s">
        <v>46</v>
      </c>
      <c r="E508" s="9" t="n">
        <v>45632</v>
      </c>
      <c r="F508" s="8" t="n">
        <f aca="true">IF(E508="","",ROUND((TODAY()-E508)/7,1))</f>
        <v>79.3</v>
      </c>
      <c r="G508" s="8" t="s">
        <v>38</v>
      </c>
      <c r="H508" s="8"/>
      <c r="I508" s="8" t="s">
        <v>615</v>
      </c>
      <c r="J508" s="8" t="s">
        <v>616</v>
      </c>
      <c r="K508" s="8" t="n">
        <v>4</v>
      </c>
      <c r="L508" s="10"/>
      <c r="M508" s="10"/>
      <c r="N508" s="10"/>
      <c r="O508" s="10" t="s">
        <v>73</v>
      </c>
      <c r="P508" s="8" t="str">
        <f aca="false">MID(IF(L508="","","; APP:"&amp;L508)&amp;IF(M508="","","; PS1:"&amp;M508)&amp;IF(N508="","","; AQP4:"&amp;N508)&amp;IF(O508="","","; CAG-EGFP:"&amp;O508),3,200)</f>
        <v>CAG-EGFP:+</v>
      </c>
      <c r="Q508" s="8" t="s">
        <v>47</v>
      </c>
      <c r="R508" s="8" t="s">
        <v>88</v>
      </c>
      <c r="S508" s="8"/>
      <c r="T508" s="8"/>
    </row>
    <row r="509" customFormat="false" ht="15" hidden="false" customHeight="false" outlineLevel="0" collapsed="false">
      <c r="A509" s="7" t="s">
        <v>795</v>
      </c>
      <c r="B509" s="8" t="s">
        <v>114</v>
      </c>
      <c r="C509" s="8" t="n">
        <v>104</v>
      </c>
      <c r="D509" s="8" t="s">
        <v>46</v>
      </c>
      <c r="E509" s="9" t="n">
        <v>45632</v>
      </c>
      <c r="F509" s="8" t="n">
        <f aca="true">IF(E509="","",ROUND((TODAY()-E509)/7,1))</f>
        <v>79.3</v>
      </c>
      <c r="G509" s="8" t="s">
        <v>38</v>
      </c>
      <c r="H509" s="8"/>
      <c r="I509" s="8" t="s">
        <v>615</v>
      </c>
      <c r="J509" s="8" t="s">
        <v>616</v>
      </c>
      <c r="K509" s="8" t="n">
        <v>4</v>
      </c>
      <c r="L509" s="10"/>
      <c r="M509" s="10"/>
      <c r="N509" s="10"/>
      <c r="O509" s="10" t="s">
        <v>73</v>
      </c>
      <c r="P509" s="8" t="str">
        <f aca="false">MID(IF(L509="","","; APP:"&amp;L509)&amp;IF(M509="","","; PS1:"&amp;M509)&amp;IF(N509="","","; AQP4:"&amp;N509)&amp;IF(O509="","","; CAG-EGFP:"&amp;O509),3,200)</f>
        <v>CAG-EGFP:+</v>
      </c>
      <c r="Q509" s="8" t="s">
        <v>47</v>
      </c>
      <c r="R509" s="8" t="s">
        <v>88</v>
      </c>
      <c r="S509" s="8"/>
      <c r="T509" s="8"/>
    </row>
    <row r="510" customFormat="false" ht="15" hidden="false" customHeight="false" outlineLevel="0" collapsed="false">
      <c r="A510" s="7" t="s">
        <v>796</v>
      </c>
      <c r="B510" s="8" t="s">
        <v>119</v>
      </c>
      <c r="C510" s="8" t="n">
        <v>1</v>
      </c>
      <c r="D510" s="8" t="s">
        <v>33</v>
      </c>
      <c r="E510" s="9" t="n">
        <v>45529</v>
      </c>
      <c r="F510" s="8" t="n">
        <f aca="true">IF(E510="","",ROUND((TODAY()-E510)/7,1))</f>
        <v>94</v>
      </c>
      <c r="G510" s="8" t="s">
        <v>38</v>
      </c>
      <c r="H510" s="8"/>
      <c r="I510" s="8" t="s">
        <v>797</v>
      </c>
      <c r="J510" s="8" t="s">
        <v>798</v>
      </c>
      <c r="K510" s="8" t="n">
        <v>1</v>
      </c>
      <c r="L510" s="10"/>
      <c r="M510" s="10"/>
      <c r="N510" s="10" t="s">
        <v>48</v>
      </c>
      <c r="O510" s="10" t="s">
        <v>48</v>
      </c>
      <c r="P510" s="8" t="str">
        <f aca="false">MID(IF(L510="","","; APP:"&amp;L510)&amp;IF(M510="","","; PS1:"&amp;M510)&amp;IF(N510="","","; AQP4:"&amp;N510)&amp;IF(O510="","","; CAG-EGFP:"&amp;O510),3,200)</f>
        <v>AQP4:+/-; CAG-EGFP:+/-</v>
      </c>
      <c r="Q510" s="8" t="s">
        <v>47</v>
      </c>
      <c r="R510" s="8" t="s">
        <v>88</v>
      </c>
      <c r="S510" s="8"/>
      <c r="T510" s="8" t="s">
        <v>799</v>
      </c>
    </row>
    <row r="511" customFormat="false" ht="15" hidden="false" customHeight="false" outlineLevel="0" collapsed="false">
      <c r="A511" s="7" t="s">
        <v>800</v>
      </c>
      <c r="B511" s="8" t="s">
        <v>119</v>
      </c>
      <c r="C511" s="8" t="n">
        <v>2</v>
      </c>
      <c r="D511" s="8" t="s">
        <v>46</v>
      </c>
      <c r="E511" s="9" t="n">
        <v>45529</v>
      </c>
      <c r="F511" s="8" t="n">
        <f aca="true">IF(E511="","",ROUND((TODAY()-E511)/7,1))</f>
        <v>94</v>
      </c>
      <c r="G511" s="8" t="s">
        <v>38</v>
      </c>
      <c r="H511" s="8"/>
      <c r="I511" s="8" t="s">
        <v>797</v>
      </c>
      <c r="J511" s="8" t="s">
        <v>798</v>
      </c>
      <c r="K511" s="8" t="n">
        <v>1</v>
      </c>
      <c r="L511" s="10"/>
      <c r="M511" s="10"/>
      <c r="N511" s="10"/>
      <c r="O511" s="10"/>
      <c r="P511" s="8" t="str">
        <f aca="false">MID(IF(L511="","","; APP:"&amp;L511)&amp;IF(M511="","","; PS1:"&amp;M511)&amp;IF(N511="","","; AQP4:"&amp;N511)&amp;IF(O511="","","; CAG-EGFP:"&amp;O511),3,200)</f>
        <v/>
      </c>
      <c r="Q511" s="8" t="s">
        <v>34</v>
      </c>
      <c r="R511" s="8" t="s">
        <v>88</v>
      </c>
      <c r="S511" s="8"/>
      <c r="T511" s="8" t="s">
        <v>799</v>
      </c>
    </row>
    <row r="512" customFormat="false" ht="15" hidden="false" customHeight="false" outlineLevel="0" collapsed="false">
      <c r="A512" s="7" t="s">
        <v>801</v>
      </c>
      <c r="B512" s="8" t="s">
        <v>119</v>
      </c>
      <c r="C512" s="8" t="n">
        <v>3</v>
      </c>
      <c r="D512" s="8" t="s">
        <v>46</v>
      </c>
      <c r="E512" s="9" t="n">
        <v>45529</v>
      </c>
      <c r="F512" s="8" t="n">
        <f aca="true">IF(E512="","",ROUND((TODAY()-E512)/7,1))</f>
        <v>94</v>
      </c>
      <c r="G512" s="8" t="s">
        <v>38</v>
      </c>
      <c r="H512" s="8"/>
      <c r="I512" s="8" t="s">
        <v>797</v>
      </c>
      <c r="J512" s="8" t="s">
        <v>798</v>
      </c>
      <c r="K512" s="8" t="n">
        <v>1</v>
      </c>
      <c r="L512" s="10"/>
      <c r="M512" s="10"/>
      <c r="N512" s="10" t="s">
        <v>48</v>
      </c>
      <c r="O512" s="10"/>
      <c r="P512" s="8" t="str">
        <f aca="false">MID(IF(L512="","","; APP:"&amp;L512)&amp;IF(M512="","","; PS1:"&amp;M512)&amp;IF(N512="","","; AQP4:"&amp;N512)&amp;IF(O512="","","; CAG-EGFP:"&amp;O512),3,200)</f>
        <v>AQP4:+/-</v>
      </c>
      <c r="Q512" s="8" t="s">
        <v>34</v>
      </c>
      <c r="R512" s="8" t="s">
        <v>88</v>
      </c>
      <c r="S512" s="8"/>
      <c r="T512" s="8" t="s">
        <v>799</v>
      </c>
    </row>
    <row r="513" customFormat="false" ht="15" hidden="false" customHeight="false" outlineLevel="0" collapsed="false">
      <c r="A513" s="7" t="s">
        <v>802</v>
      </c>
      <c r="B513" s="8" t="s">
        <v>119</v>
      </c>
      <c r="C513" s="8" t="n">
        <v>4</v>
      </c>
      <c r="D513" s="8" t="s">
        <v>33</v>
      </c>
      <c r="E513" s="9" t="n">
        <v>45552</v>
      </c>
      <c r="F513" s="8" t="n">
        <f aca="true">IF(E513="","",ROUND((TODAY()-E513)/7,1))</f>
        <v>90.7</v>
      </c>
      <c r="G513" s="8" t="s">
        <v>38</v>
      </c>
      <c r="H513" s="8"/>
      <c r="I513" s="8" t="s">
        <v>797</v>
      </c>
      <c r="J513" s="8" t="s">
        <v>798</v>
      </c>
      <c r="K513" s="8" t="n">
        <v>1</v>
      </c>
      <c r="L513" s="10"/>
      <c r="M513" s="10"/>
      <c r="N513" s="10" t="s">
        <v>48</v>
      </c>
      <c r="O513" s="10" t="s">
        <v>48</v>
      </c>
      <c r="P513" s="8" t="str">
        <f aca="false">MID(IF(L513="","","; APP:"&amp;L513)&amp;IF(M513="","","; PS1:"&amp;M513)&amp;IF(N513="","","; AQP4:"&amp;N513)&amp;IF(O513="","","; CAG-EGFP:"&amp;O513),3,200)</f>
        <v>AQP4:+/-; CAG-EGFP:+/-</v>
      </c>
      <c r="Q513" s="8" t="s">
        <v>47</v>
      </c>
      <c r="R513" s="8" t="s">
        <v>88</v>
      </c>
      <c r="S513" s="8"/>
      <c r="T513" s="8" t="s">
        <v>799</v>
      </c>
    </row>
    <row r="514" customFormat="false" ht="15" hidden="false" customHeight="false" outlineLevel="0" collapsed="false">
      <c r="A514" s="7" t="s">
        <v>803</v>
      </c>
      <c r="B514" s="8" t="s">
        <v>119</v>
      </c>
      <c r="C514" s="8" t="n">
        <v>5</v>
      </c>
      <c r="D514" s="8" t="s">
        <v>33</v>
      </c>
      <c r="E514" s="9" t="n">
        <v>45552</v>
      </c>
      <c r="F514" s="8" t="n">
        <f aca="true">IF(E514="","",ROUND((TODAY()-E514)/7,1))</f>
        <v>90.7</v>
      </c>
      <c r="G514" s="8" t="s">
        <v>38</v>
      </c>
      <c r="H514" s="8"/>
      <c r="I514" s="8" t="s">
        <v>797</v>
      </c>
      <c r="J514" s="8" t="s">
        <v>798</v>
      </c>
      <c r="K514" s="8" t="n">
        <v>1</v>
      </c>
      <c r="L514" s="10"/>
      <c r="M514" s="10"/>
      <c r="N514" s="10" t="s">
        <v>48</v>
      </c>
      <c r="O514" s="10" t="s">
        <v>48</v>
      </c>
      <c r="P514" s="8" t="str">
        <f aca="false">MID(IF(L514="","","; APP:"&amp;L514)&amp;IF(M514="","","; PS1:"&amp;M514)&amp;IF(N514="","","; AQP4:"&amp;N514)&amp;IF(O514="","","; CAG-EGFP:"&amp;O514),3,200)</f>
        <v>AQP4:+/-; CAG-EGFP:+/-</v>
      </c>
      <c r="Q514" s="8" t="s">
        <v>47</v>
      </c>
      <c r="R514" s="8" t="s">
        <v>88</v>
      </c>
      <c r="S514" s="8"/>
      <c r="T514" s="8" t="s">
        <v>799</v>
      </c>
    </row>
    <row r="515" customFormat="false" ht="15" hidden="false" customHeight="false" outlineLevel="0" collapsed="false">
      <c r="A515" s="7" t="s">
        <v>804</v>
      </c>
      <c r="B515" s="8" t="s">
        <v>119</v>
      </c>
      <c r="C515" s="8" t="n">
        <v>6</v>
      </c>
      <c r="D515" s="8" t="s">
        <v>33</v>
      </c>
      <c r="E515" s="9" t="n">
        <v>45569</v>
      </c>
      <c r="F515" s="8" t="n">
        <f aca="true">IF(E515="","",ROUND((TODAY()-E515)/7,1))</f>
        <v>88.3</v>
      </c>
      <c r="G515" s="8" t="s">
        <v>38</v>
      </c>
      <c r="H515" s="8"/>
      <c r="I515" s="8" t="s">
        <v>797</v>
      </c>
      <c r="J515" s="8" t="s">
        <v>798</v>
      </c>
      <c r="K515" s="8" t="n">
        <v>1</v>
      </c>
      <c r="L515" s="10"/>
      <c r="M515" s="10"/>
      <c r="N515" s="10" t="s">
        <v>48</v>
      </c>
      <c r="O515" s="10" t="s">
        <v>48</v>
      </c>
      <c r="P515" s="8" t="str">
        <f aca="false">MID(IF(L515="","","; APP:"&amp;L515)&amp;IF(M515="","","; PS1:"&amp;M515)&amp;IF(N515="","","; AQP4:"&amp;N515)&amp;IF(O515="","","; CAG-EGFP:"&amp;O515),3,200)</f>
        <v>AQP4:+/-; CAG-EGFP:+/-</v>
      </c>
      <c r="Q515" s="8" t="s">
        <v>47</v>
      </c>
      <c r="R515" s="8" t="s">
        <v>88</v>
      </c>
      <c r="S515" s="8"/>
      <c r="T515" s="8" t="s">
        <v>799</v>
      </c>
    </row>
    <row r="516" customFormat="false" ht="15" hidden="false" customHeight="false" outlineLevel="0" collapsed="false">
      <c r="A516" s="7" t="s">
        <v>805</v>
      </c>
      <c r="B516" s="8" t="s">
        <v>119</v>
      </c>
      <c r="C516" s="8" t="n">
        <v>7</v>
      </c>
      <c r="D516" s="8" t="s">
        <v>33</v>
      </c>
      <c r="E516" s="9" t="n">
        <v>45569</v>
      </c>
      <c r="F516" s="8" t="n">
        <f aca="true">IF(E516="","",ROUND((TODAY()-E516)/7,1))</f>
        <v>88.3</v>
      </c>
      <c r="G516" s="8" t="s">
        <v>38</v>
      </c>
      <c r="H516" s="8"/>
      <c r="I516" s="8" t="s">
        <v>797</v>
      </c>
      <c r="J516" s="8" t="s">
        <v>798</v>
      </c>
      <c r="K516" s="8" t="n">
        <v>1</v>
      </c>
      <c r="L516" s="10"/>
      <c r="M516" s="10"/>
      <c r="N516" s="10" t="s">
        <v>48</v>
      </c>
      <c r="O516" s="10" t="s">
        <v>48</v>
      </c>
      <c r="P516" s="8" t="str">
        <f aca="false">MID(IF(L516="","","; APP:"&amp;L516)&amp;IF(M516="","","; PS1:"&amp;M516)&amp;IF(N516="","","; AQP4:"&amp;N516)&amp;IF(O516="","","; CAG-EGFP:"&amp;O516),3,200)</f>
        <v>AQP4:+/-; CAG-EGFP:+/-</v>
      </c>
      <c r="Q516" s="8" t="s">
        <v>47</v>
      </c>
      <c r="R516" s="8" t="s">
        <v>88</v>
      </c>
      <c r="S516" s="8"/>
      <c r="T516" s="8" t="s">
        <v>799</v>
      </c>
    </row>
    <row r="517" customFormat="false" ht="15" hidden="false" customHeight="false" outlineLevel="0" collapsed="false">
      <c r="A517" s="7" t="s">
        <v>806</v>
      </c>
      <c r="B517" s="8" t="s">
        <v>119</v>
      </c>
      <c r="C517" s="8" t="n">
        <v>8</v>
      </c>
      <c r="D517" s="8" t="s">
        <v>46</v>
      </c>
      <c r="E517" s="9" t="n">
        <v>45569</v>
      </c>
      <c r="F517" s="8" t="n">
        <f aca="true">IF(E517="","",ROUND((TODAY()-E517)/7,1))</f>
        <v>88.3</v>
      </c>
      <c r="G517" s="8" t="s">
        <v>38</v>
      </c>
      <c r="H517" s="8"/>
      <c r="I517" s="8" t="s">
        <v>797</v>
      </c>
      <c r="J517" s="8" t="s">
        <v>798</v>
      </c>
      <c r="K517" s="8" t="n">
        <v>1</v>
      </c>
      <c r="L517" s="10"/>
      <c r="M517" s="10"/>
      <c r="N517" s="10" t="s">
        <v>48</v>
      </c>
      <c r="O517" s="10" t="s">
        <v>48</v>
      </c>
      <c r="P517" s="8" t="str">
        <f aca="false">MID(IF(L517="","","; APP:"&amp;L517)&amp;IF(M517="","","; PS1:"&amp;M517)&amp;IF(N517="","","; AQP4:"&amp;N517)&amp;IF(O517="","","; CAG-EGFP:"&amp;O517),3,200)</f>
        <v>AQP4:+/-; CAG-EGFP:+/-</v>
      </c>
      <c r="Q517" s="8" t="s">
        <v>47</v>
      </c>
      <c r="R517" s="8" t="s">
        <v>88</v>
      </c>
      <c r="S517" s="8"/>
      <c r="T517" s="8" t="s">
        <v>799</v>
      </c>
    </row>
    <row r="518" customFormat="false" ht="15" hidden="false" customHeight="false" outlineLevel="0" collapsed="false">
      <c r="A518" s="7" t="s">
        <v>807</v>
      </c>
      <c r="B518" s="8" t="s">
        <v>119</v>
      </c>
      <c r="C518" s="8" t="n">
        <v>9</v>
      </c>
      <c r="D518" s="8" t="s">
        <v>33</v>
      </c>
      <c r="E518" s="9" t="n">
        <v>45608</v>
      </c>
      <c r="F518" s="8" t="n">
        <f aca="true">IF(E518="","",ROUND((TODAY()-E518)/7,1))</f>
        <v>82.7</v>
      </c>
      <c r="G518" s="8" t="s">
        <v>38</v>
      </c>
      <c r="H518" s="8"/>
      <c r="I518" s="8" t="s">
        <v>808</v>
      </c>
      <c r="J518" s="8" t="s">
        <v>809</v>
      </c>
      <c r="K518" s="8" t="n">
        <v>1</v>
      </c>
      <c r="L518" s="10"/>
      <c r="M518" s="10"/>
      <c r="N518" s="10" t="s">
        <v>48</v>
      </c>
      <c r="O518" s="10" t="s">
        <v>48</v>
      </c>
      <c r="P518" s="8" t="str">
        <f aca="false">MID(IF(L518="","","; APP:"&amp;L518)&amp;IF(M518="","","; PS1:"&amp;M518)&amp;IF(N518="","","; AQP4:"&amp;N518)&amp;IF(O518="","","; CAG-EGFP:"&amp;O518),3,200)</f>
        <v>AQP4:+/-; CAG-EGFP:+/-</v>
      </c>
      <c r="Q518" s="8" t="s">
        <v>47</v>
      </c>
      <c r="R518" s="8" t="s">
        <v>88</v>
      </c>
      <c r="S518" s="8"/>
      <c r="T518" s="8" t="s">
        <v>799</v>
      </c>
    </row>
    <row r="519" customFormat="false" ht="15" hidden="false" customHeight="false" outlineLevel="0" collapsed="false">
      <c r="A519" s="7" t="s">
        <v>810</v>
      </c>
      <c r="B519" s="8" t="s">
        <v>119</v>
      </c>
      <c r="C519" s="8" t="n">
        <v>10</v>
      </c>
      <c r="D519" s="8" t="s">
        <v>33</v>
      </c>
      <c r="E519" s="9" t="n">
        <v>45608</v>
      </c>
      <c r="F519" s="8" t="n">
        <f aca="true">IF(E519="","",ROUND((TODAY()-E519)/7,1))</f>
        <v>82.7</v>
      </c>
      <c r="G519" s="8" t="s">
        <v>38</v>
      </c>
      <c r="H519" s="8"/>
      <c r="I519" s="8" t="s">
        <v>808</v>
      </c>
      <c r="J519" s="8" t="s">
        <v>809</v>
      </c>
      <c r="K519" s="8" t="n">
        <v>1</v>
      </c>
      <c r="L519" s="10"/>
      <c r="M519" s="10"/>
      <c r="N519" s="10" t="s">
        <v>48</v>
      </c>
      <c r="O519" s="10" t="s">
        <v>48</v>
      </c>
      <c r="P519" s="8" t="str">
        <f aca="false">MID(IF(L519="","","; APP:"&amp;L519)&amp;IF(M519="","","; PS1:"&amp;M519)&amp;IF(N519="","","; AQP4:"&amp;N519)&amp;IF(O519="","","; CAG-EGFP:"&amp;O519),3,200)</f>
        <v>AQP4:+/-; CAG-EGFP:+/-</v>
      </c>
      <c r="Q519" s="8" t="s">
        <v>47</v>
      </c>
      <c r="R519" s="8" t="s">
        <v>88</v>
      </c>
      <c r="S519" s="8"/>
      <c r="T519" s="8" t="s">
        <v>799</v>
      </c>
    </row>
    <row r="520" customFormat="false" ht="15" hidden="false" customHeight="false" outlineLevel="0" collapsed="false">
      <c r="A520" s="7" t="s">
        <v>811</v>
      </c>
      <c r="B520" s="8" t="s">
        <v>119</v>
      </c>
      <c r="C520" s="8" t="n">
        <v>11</v>
      </c>
      <c r="D520" s="8" t="s">
        <v>33</v>
      </c>
      <c r="E520" s="9" t="n">
        <v>45608</v>
      </c>
      <c r="F520" s="8" t="n">
        <f aca="true">IF(E520="","",ROUND((TODAY()-E520)/7,1))</f>
        <v>82.7</v>
      </c>
      <c r="G520" s="8" t="s">
        <v>38</v>
      </c>
      <c r="H520" s="8"/>
      <c r="I520" s="8" t="s">
        <v>808</v>
      </c>
      <c r="J520" s="8" t="s">
        <v>809</v>
      </c>
      <c r="K520" s="8" t="n">
        <v>1</v>
      </c>
      <c r="L520" s="10"/>
      <c r="M520" s="10"/>
      <c r="N520" s="10" t="s">
        <v>48</v>
      </c>
      <c r="O520" s="10" t="s">
        <v>48</v>
      </c>
      <c r="P520" s="8" t="str">
        <f aca="false">MID(IF(L520="","","; APP:"&amp;L520)&amp;IF(M520="","","; PS1:"&amp;M520)&amp;IF(N520="","","; AQP4:"&amp;N520)&amp;IF(O520="","","; CAG-EGFP:"&amp;O520),3,200)</f>
        <v>AQP4:+/-; CAG-EGFP:+/-</v>
      </c>
      <c r="Q520" s="8" t="s">
        <v>47</v>
      </c>
      <c r="R520" s="8" t="s">
        <v>88</v>
      </c>
      <c r="S520" s="8"/>
      <c r="T520" s="8" t="s">
        <v>799</v>
      </c>
    </row>
    <row r="521" customFormat="false" ht="15" hidden="false" customHeight="false" outlineLevel="0" collapsed="false">
      <c r="A521" s="7" t="s">
        <v>812</v>
      </c>
      <c r="B521" s="8" t="s">
        <v>119</v>
      </c>
      <c r="C521" s="8" t="n">
        <v>12</v>
      </c>
      <c r="D521" s="8" t="s">
        <v>46</v>
      </c>
      <c r="E521" s="9" t="n">
        <v>45608</v>
      </c>
      <c r="F521" s="8" t="n">
        <f aca="true">IF(E521="","",ROUND((TODAY()-E521)/7,1))</f>
        <v>82.7</v>
      </c>
      <c r="G521" s="8" t="s">
        <v>38</v>
      </c>
      <c r="H521" s="8"/>
      <c r="I521" s="8" t="s">
        <v>808</v>
      </c>
      <c r="J521" s="8" t="s">
        <v>809</v>
      </c>
      <c r="K521" s="8" t="n">
        <v>1</v>
      </c>
      <c r="L521" s="10"/>
      <c r="M521" s="10"/>
      <c r="N521" s="10" t="s">
        <v>48</v>
      </c>
      <c r="O521" s="10" t="s">
        <v>48</v>
      </c>
      <c r="P521" s="8" t="str">
        <f aca="false">MID(IF(L521="","","; APP:"&amp;L521)&amp;IF(M521="","","; PS1:"&amp;M521)&amp;IF(N521="","","; AQP4:"&amp;N521)&amp;IF(O521="","","; CAG-EGFP:"&amp;O521),3,200)</f>
        <v>AQP4:+/-; CAG-EGFP:+/-</v>
      </c>
      <c r="Q521" s="8" t="s">
        <v>47</v>
      </c>
      <c r="R521" s="8" t="s">
        <v>88</v>
      </c>
      <c r="S521" s="8"/>
      <c r="T521" s="8" t="s">
        <v>799</v>
      </c>
    </row>
    <row r="522" customFormat="false" ht="15" hidden="false" customHeight="false" outlineLevel="0" collapsed="false">
      <c r="A522" s="7" t="s">
        <v>813</v>
      </c>
      <c r="B522" s="8" t="s">
        <v>119</v>
      </c>
      <c r="C522" s="8" t="n">
        <v>13</v>
      </c>
      <c r="D522" s="8" t="s">
        <v>46</v>
      </c>
      <c r="E522" s="9" t="n">
        <v>45608</v>
      </c>
      <c r="F522" s="8" t="n">
        <f aca="true">IF(E522="","",ROUND((TODAY()-E522)/7,1))</f>
        <v>82.7</v>
      </c>
      <c r="G522" s="8" t="s">
        <v>38</v>
      </c>
      <c r="H522" s="8"/>
      <c r="I522" s="8" t="s">
        <v>808</v>
      </c>
      <c r="J522" s="8" t="s">
        <v>809</v>
      </c>
      <c r="K522" s="8" t="n">
        <v>1</v>
      </c>
      <c r="L522" s="10"/>
      <c r="M522" s="10"/>
      <c r="N522" s="10" t="s">
        <v>48</v>
      </c>
      <c r="O522" s="10" t="s">
        <v>48</v>
      </c>
      <c r="P522" s="8" t="str">
        <f aca="false">MID(IF(L522="","","; APP:"&amp;L522)&amp;IF(M522="","","; PS1:"&amp;M522)&amp;IF(N522="","","; AQP4:"&amp;N522)&amp;IF(O522="","","; CAG-EGFP:"&amp;O522),3,200)</f>
        <v>AQP4:+/-; CAG-EGFP:+/-</v>
      </c>
      <c r="Q522" s="8" t="s">
        <v>47</v>
      </c>
      <c r="R522" s="8" t="s">
        <v>88</v>
      </c>
      <c r="S522" s="8"/>
      <c r="T522" s="8" t="s">
        <v>799</v>
      </c>
    </row>
    <row r="523" customFormat="false" ht="15" hidden="false" customHeight="false" outlineLevel="0" collapsed="false">
      <c r="A523" s="7" t="s">
        <v>814</v>
      </c>
      <c r="B523" s="8" t="s">
        <v>119</v>
      </c>
      <c r="C523" s="8" t="n">
        <v>14</v>
      </c>
      <c r="D523" s="8" t="s">
        <v>46</v>
      </c>
      <c r="E523" s="9" t="n">
        <v>45608</v>
      </c>
      <c r="F523" s="8" t="n">
        <f aca="true">IF(E523="","",ROUND((TODAY()-E523)/7,1))</f>
        <v>82.7</v>
      </c>
      <c r="G523" s="8" t="s">
        <v>38</v>
      </c>
      <c r="H523" s="8"/>
      <c r="I523" s="8" t="s">
        <v>808</v>
      </c>
      <c r="J523" s="8" t="s">
        <v>809</v>
      </c>
      <c r="K523" s="8" t="n">
        <v>1</v>
      </c>
      <c r="L523" s="10"/>
      <c r="M523" s="10"/>
      <c r="N523" s="10" t="s">
        <v>48</v>
      </c>
      <c r="O523" s="10" t="s">
        <v>48</v>
      </c>
      <c r="P523" s="8" t="str">
        <f aca="false">MID(IF(L523="","","; APP:"&amp;L523)&amp;IF(M523="","","; PS1:"&amp;M523)&amp;IF(N523="","","; AQP4:"&amp;N523)&amp;IF(O523="","","; CAG-EGFP:"&amp;O523),3,200)</f>
        <v>AQP4:+/-; CAG-EGFP:+/-</v>
      </c>
      <c r="Q523" s="8" t="s">
        <v>47</v>
      </c>
      <c r="R523" s="8" t="s">
        <v>88</v>
      </c>
      <c r="S523" s="8"/>
      <c r="T523" s="8" t="s">
        <v>799</v>
      </c>
    </row>
    <row r="524" customFormat="false" ht="15" hidden="false" customHeight="false" outlineLevel="0" collapsed="false">
      <c r="A524" s="7" t="s">
        <v>815</v>
      </c>
      <c r="B524" s="8" t="s">
        <v>119</v>
      </c>
      <c r="C524" s="8" t="n">
        <v>15</v>
      </c>
      <c r="D524" s="8" t="s">
        <v>46</v>
      </c>
      <c r="E524" s="9" t="n">
        <v>45608</v>
      </c>
      <c r="F524" s="8" t="n">
        <f aca="true">IF(E524="","",ROUND((TODAY()-E524)/7,1))</f>
        <v>82.7</v>
      </c>
      <c r="G524" s="8" t="s">
        <v>38</v>
      </c>
      <c r="H524" s="8"/>
      <c r="I524" s="8" t="s">
        <v>808</v>
      </c>
      <c r="J524" s="8" t="s">
        <v>809</v>
      </c>
      <c r="K524" s="8" t="n">
        <v>1</v>
      </c>
      <c r="L524" s="10"/>
      <c r="M524" s="10"/>
      <c r="N524" s="10" t="s">
        <v>48</v>
      </c>
      <c r="O524" s="10" t="s">
        <v>48</v>
      </c>
      <c r="P524" s="8" t="str">
        <f aca="false">MID(IF(L524="","","; APP:"&amp;L524)&amp;IF(M524="","","; PS1:"&amp;M524)&amp;IF(N524="","","; AQP4:"&amp;N524)&amp;IF(O524="","","; CAG-EGFP:"&amp;O524),3,200)</f>
        <v>AQP4:+/-; CAG-EGFP:+/-</v>
      </c>
      <c r="Q524" s="8" t="s">
        <v>47</v>
      </c>
      <c r="R524" s="8" t="s">
        <v>88</v>
      </c>
      <c r="S524" s="8"/>
      <c r="T524" s="8" t="s">
        <v>799</v>
      </c>
    </row>
    <row r="525" customFormat="false" ht="15" hidden="false" customHeight="false" outlineLevel="0" collapsed="false">
      <c r="A525" s="7" t="s">
        <v>816</v>
      </c>
      <c r="B525" s="8" t="s">
        <v>119</v>
      </c>
      <c r="C525" s="8" t="n">
        <v>16</v>
      </c>
      <c r="D525" s="8" t="s">
        <v>46</v>
      </c>
      <c r="E525" s="9" t="n">
        <v>45608</v>
      </c>
      <c r="F525" s="8" t="n">
        <f aca="true">IF(E525="","",ROUND((TODAY()-E525)/7,1))</f>
        <v>82.7</v>
      </c>
      <c r="G525" s="8" t="s">
        <v>38</v>
      </c>
      <c r="H525" s="8"/>
      <c r="I525" s="8" t="s">
        <v>808</v>
      </c>
      <c r="J525" s="8" t="s">
        <v>809</v>
      </c>
      <c r="K525" s="8" t="n">
        <v>1</v>
      </c>
      <c r="L525" s="10"/>
      <c r="M525" s="10"/>
      <c r="N525" s="10" t="s">
        <v>48</v>
      </c>
      <c r="O525" s="10" t="s">
        <v>48</v>
      </c>
      <c r="P525" s="8" t="str">
        <f aca="false">MID(IF(L525="","","; APP:"&amp;L525)&amp;IF(M525="","","; PS1:"&amp;M525)&amp;IF(N525="","","; AQP4:"&amp;N525)&amp;IF(O525="","","; CAG-EGFP:"&amp;O525),3,200)</f>
        <v>AQP4:+/-; CAG-EGFP:+/-</v>
      </c>
      <c r="Q525" s="8" t="s">
        <v>47</v>
      </c>
      <c r="R525" s="8" t="s">
        <v>88</v>
      </c>
      <c r="S525" s="8"/>
      <c r="T525" s="8" t="s">
        <v>799</v>
      </c>
    </row>
    <row r="526" customFormat="false" ht="15" hidden="false" customHeight="false" outlineLevel="0" collapsed="false">
      <c r="A526" s="7" t="s">
        <v>817</v>
      </c>
      <c r="B526" s="8" t="s">
        <v>119</v>
      </c>
      <c r="C526" s="8" t="n">
        <v>17</v>
      </c>
      <c r="D526" s="8" t="s">
        <v>33</v>
      </c>
      <c r="E526" s="9" t="n">
        <v>45608</v>
      </c>
      <c r="F526" s="8" t="n">
        <f aca="true">IF(E526="","",ROUND((TODAY()-E526)/7,1))</f>
        <v>82.7</v>
      </c>
      <c r="G526" s="8" t="s">
        <v>38</v>
      </c>
      <c r="H526" s="8"/>
      <c r="I526" s="8" t="s">
        <v>808</v>
      </c>
      <c r="J526" s="8" t="s">
        <v>818</v>
      </c>
      <c r="K526" s="8" t="n">
        <v>1</v>
      </c>
      <c r="L526" s="10"/>
      <c r="M526" s="10"/>
      <c r="N526" s="10" t="s">
        <v>48</v>
      </c>
      <c r="O526" s="10" t="s">
        <v>48</v>
      </c>
      <c r="P526" s="8" t="str">
        <f aca="false">MID(IF(L526="","","; APP:"&amp;L526)&amp;IF(M526="","","; PS1:"&amp;M526)&amp;IF(N526="","","; AQP4:"&amp;N526)&amp;IF(O526="","","; CAG-EGFP:"&amp;O526),3,200)</f>
        <v>AQP4:+/-; CAG-EGFP:+/-</v>
      </c>
      <c r="Q526" s="8" t="s">
        <v>47</v>
      </c>
      <c r="R526" s="8" t="s">
        <v>88</v>
      </c>
      <c r="S526" s="8"/>
      <c r="T526" s="8" t="s">
        <v>799</v>
      </c>
    </row>
    <row r="527" customFormat="false" ht="15" hidden="false" customHeight="false" outlineLevel="0" collapsed="false">
      <c r="A527" s="7" t="s">
        <v>819</v>
      </c>
      <c r="B527" s="8" t="s">
        <v>119</v>
      </c>
      <c r="C527" s="8" t="n">
        <v>18</v>
      </c>
      <c r="D527" s="8" t="s">
        <v>33</v>
      </c>
      <c r="E527" s="9" t="n">
        <v>45608</v>
      </c>
      <c r="F527" s="8" t="n">
        <f aca="true">IF(E527="","",ROUND((TODAY()-E527)/7,1))</f>
        <v>82.7</v>
      </c>
      <c r="G527" s="8" t="s">
        <v>38</v>
      </c>
      <c r="H527" s="8"/>
      <c r="I527" s="8" t="s">
        <v>808</v>
      </c>
      <c r="J527" s="8" t="s">
        <v>818</v>
      </c>
      <c r="K527" s="8" t="n">
        <v>1</v>
      </c>
      <c r="L527" s="10"/>
      <c r="M527" s="10"/>
      <c r="N527" s="10" t="s">
        <v>48</v>
      </c>
      <c r="O527" s="10" t="s">
        <v>48</v>
      </c>
      <c r="P527" s="8" t="str">
        <f aca="false">MID(IF(L527="","","; APP:"&amp;L527)&amp;IF(M527="","","; PS1:"&amp;M527)&amp;IF(N527="","","; AQP4:"&amp;N527)&amp;IF(O527="","","; CAG-EGFP:"&amp;O527),3,200)</f>
        <v>AQP4:+/-; CAG-EGFP:+/-</v>
      </c>
      <c r="Q527" s="8" t="s">
        <v>47</v>
      </c>
      <c r="R527" s="8" t="s">
        <v>88</v>
      </c>
      <c r="S527" s="8"/>
      <c r="T527" s="8" t="s">
        <v>799</v>
      </c>
    </row>
    <row r="528" customFormat="false" ht="15" hidden="false" customHeight="false" outlineLevel="0" collapsed="false">
      <c r="A528" s="7" t="s">
        <v>820</v>
      </c>
      <c r="B528" s="8" t="s">
        <v>119</v>
      </c>
      <c r="C528" s="8" t="n">
        <v>19</v>
      </c>
      <c r="D528" s="8" t="s">
        <v>33</v>
      </c>
      <c r="E528" s="9" t="n">
        <v>45608</v>
      </c>
      <c r="F528" s="8" t="n">
        <f aca="true">IF(E528="","",ROUND((TODAY()-E528)/7,1))</f>
        <v>82.7</v>
      </c>
      <c r="G528" s="8" t="s">
        <v>38</v>
      </c>
      <c r="H528" s="8"/>
      <c r="I528" s="8" t="s">
        <v>808</v>
      </c>
      <c r="J528" s="8" t="s">
        <v>818</v>
      </c>
      <c r="K528" s="8" t="n">
        <v>1</v>
      </c>
      <c r="L528" s="10"/>
      <c r="M528" s="10"/>
      <c r="N528" s="10" t="s">
        <v>48</v>
      </c>
      <c r="O528" s="10" t="s">
        <v>48</v>
      </c>
      <c r="P528" s="8" t="str">
        <f aca="false">MID(IF(L528="","","; APP:"&amp;L528)&amp;IF(M528="","","; PS1:"&amp;M528)&amp;IF(N528="","","; AQP4:"&amp;N528)&amp;IF(O528="","","; CAG-EGFP:"&amp;O528),3,200)</f>
        <v>AQP4:+/-; CAG-EGFP:+/-</v>
      </c>
      <c r="Q528" s="8" t="s">
        <v>47</v>
      </c>
      <c r="R528" s="8" t="s">
        <v>88</v>
      </c>
      <c r="S528" s="8"/>
      <c r="T528" s="8" t="s">
        <v>799</v>
      </c>
    </row>
    <row r="529" customFormat="false" ht="15" hidden="false" customHeight="false" outlineLevel="0" collapsed="false">
      <c r="A529" s="7" t="s">
        <v>821</v>
      </c>
      <c r="B529" s="8" t="s">
        <v>119</v>
      </c>
      <c r="C529" s="8" t="n">
        <v>20</v>
      </c>
      <c r="D529" s="8" t="s">
        <v>46</v>
      </c>
      <c r="E529" s="9" t="n">
        <v>45608</v>
      </c>
      <c r="F529" s="8" t="n">
        <f aca="true">IF(E529="","",ROUND((TODAY()-E529)/7,1))</f>
        <v>82.7</v>
      </c>
      <c r="G529" s="8" t="s">
        <v>38</v>
      </c>
      <c r="H529" s="8"/>
      <c r="I529" s="8" t="s">
        <v>808</v>
      </c>
      <c r="J529" s="8" t="s">
        <v>818</v>
      </c>
      <c r="K529" s="8" t="n">
        <v>1</v>
      </c>
      <c r="L529" s="10"/>
      <c r="M529" s="10"/>
      <c r="N529" s="10" t="s">
        <v>48</v>
      </c>
      <c r="O529" s="10" t="s">
        <v>48</v>
      </c>
      <c r="P529" s="8" t="str">
        <f aca="false">MID(IF(L529="","","; APP:"&amp;L529)&amp;IF(M529="","","; PS1:"&amp;M529)&amp;IF(N529="","","; AQP4:"&amp;N529)&amp;IF(O529="","","; CAG-EGFP:"&amp;O529),3,200)</f>
        <v>AQP4:+/-; CAG-EGFP:+/-</v>
      </c>
      <c r="Q529" s="8" t="s">
        <v>47</v>
      </c>
      <c r="R529" s="8" t="s">
        <v>88</v>
      </c>
      <c r="S529" s="8"/>
      <c r="T529" s="8" t="s">
        <v>799</v>
      </c>
    </row>
    <row r="530" customFormat="false" ht="15" hidden="false" customHeight="false" outlineLevel="0" collapsed="false">
      <c r="A530" s="7" t="s">
        <v>822</v>
      </c>
      <c r="B530" s="8" t="s">
        <v>119</v>
      </c>
      <c r="C530" s="8" t="n">
        <v>21</v>
      </c>
      <c r="D530" s="8" t="s">
        <v>46</v>
      </c>
      <c r="E530" s="9" t="n">
        <v>45608</v>
      </c>
      <c r="F530" s="8" t="n">
        <f aca="true">IF(E530="","",ROUND((TODAY()-E530)/7,1))</f>
        <v>82.7</v>
      </c>
      <c r="G530" s="8" t="s">
        <v>38</v>
      </c>
      <c r="H530" s="8"/>
      <c r="I530" s="8" t="s">
        <v>808</v>
      </c>
      <c r="J530" s="8" t="s">
        <v>818</v>
      </c>
      <c r="K530" s="8" t="n">
        <v>1</v>
      </c>
      <c r="L530" s="10"/>
      <c r="M530" s="10"/>
      <c r="N530" s="10" t="s">
        <v>48</v>
      </c>
      <c r="O530" s="10" t="s">
        <v>48</v>
      </c>
      <c r="P530" s="8" t="str">
        <f aca="false">MID(IF(L530="","","; APP:"&amp;L530)&amp;IF(M530="","","; PS1:"&amp;M530)&amp;IF(N530="","","; AQP4:"&amp;N530)&amp;IF(O530="","","; CAG-EGFP:"&amp;O530),3,200)</f>
        <v>AQP4:+/-; CAG-EGFP:+/-</v>
      </c>
      <c r="Q530" s="8" t="s">
        <v>47</v>
      </c>
      <c r="R530" s="8" t="s">
        <v>88</v>
      </c>
      <c r="S530" s="8"/>
      <c r="T530" s="8" t="s">
        <v>799</v>
      </c>
    </row>
    <row r="531" customFormat="false" ht="15" hidden="false" customHeight="false" outlineLevel="0" collapsed="false">
      <c r="A531" s="7" t="s">
        <v>823</v>
      </c>
      <c r="B531" s="8" t="s">
        <v>119</v>
      </c>
      <c r="C531" s="8" t="n">
        <v>22</v>
      </c>
      <c r="D531" s="8" t="s">
        <v>33</v>
      </c>
      <c r="E531" s="9" t="n">
        <v>45674</v>
      </c>
      <c r="F531" s="8" t="n">
        <f aca="true">IF(E531="","",ROUND((TODAY()-E531)/7,1))</f>
        <v>73.3</v>
      </c>
      <c r="G531" s="8" t="s">
        <v>38</v>
      </c>
      <c r="H531" s="8"/>
      <c r="I531" s="8" t="s">
        <v>824</v>
      </c>
      <c r="J531" s="8" t="s">
        <v>825</v>
      </c>
      <c r="K531" s="8" t="n">
        <v>2</v>
      </c>
      <c r="L531" s="10"/>
      <c r="M531" s="10"/>
      <c r="N531" s="10" t="s">
        <v>35</v>
      </c>
      <c r="O531" s="10" t="s">
        <v>35</v>
      </c>
      <c r="P531" s="8" t="str">
        <f aca="false">MID(IF(L531="","","; APP:"&amp;L531)&amp;IF(M531="","","; PS1:"&amp;M531)&amp;IF(N531="","","; AQP4:"&amp;N531)&amp;IF(O531="","","; CAG-EGFP:"&amp;O531),3,200)</f>
        <v>AQP4:+/+; CAG-EGFP:+/+</v>
      </c>
      <c r="Q531" s="8" t="s">
        <v>47</v>
      </c>
      <c r="R531" s="8" t="s">
        <v>88</v>
      </c>
      <c r="S531" s="8"/>
      <c r="T531" s="8" t="s">
        <v>826</v>
      </c>
    </row>
    <row r="532" customFormat="false" ht="15" hidden="false" customHeight="false" outlineLevel="0" collapsed="false">
      <c r="A532" s="7" t="s">
        <v>827</v>
      </c>
      <c r="B532" s="8" t="s">
        <v>119</v>
      </c>
      <c r="C532" s="8" t="n">
        <v>23</v>
      </c>
      <c r="D532" s="8" t="s">
        <v>33</v>
      </c>
      <c r="E532" s="9" t="n">
        <v>45674</v>
      </c>
      <c r="F532" s="8" t="n">
        <f aca="true">IF(E532="","",ROUND((TODAY()-E532)/7,1))</f>
        <v>73.3</v>
      </c>
      <c r="G532" s="8" t="s">
        <v>38</v>
      </c>
      <c r="H532" s="8"/>
      <c r="I532" s="8" t="s">
        <v>824</v>
      </c>
      <c r="J532" s="8" t="s">
        <v>825</v>
      </c>
      <c r="K532" s="8" t="n">
        <v>2</v>
      </c>
      <c r="L532" s="10"/>
      <c r="M532" s="10"/>
      <c r="N532" s="10" t="s">
        <v>48</v>
      </c>
      <c r="O532" s="10" t="s">
        <v>48</v>
      </c>
      <c r="P532" s="8" t="str">
        <f aca="false">MID(IF(L532="","","; APP:"&amp;L532)&amp;IF(M532="","","; PS1:"&amp;M532)&amp;IF(N532="","","; AQP4:"&amp;N532)&amp;IF(O532="","","; CAG-EGFP:"&amp;O532),3,200)</f>
        <v>AQP4:+/-; CAG-EGFP:+/-</v>
      </c>
      <c r="Q532" s="8" t="s">
        <v>47</v>
      </c>
      <c r="R532" s="8" t="s">
        <v>88</v>
      </c>
      <c r="S532" s="8"/>
      <c r="T532" s="8" t="s">
        <v>799</v>
      </c>
    </row>
    <row r="533" customFormat="false" ht="15" hidden="false" customHeight="false" outlineLevel="0" collapsed="false">
      <c r="A533" s="7" t="s">
        <v>828</v>
      </c>
      <c r="B533" s="8" t="s">
        <v>119</v>
      </c>
      <c r="C533" s="8" t="n">
        <v>24</v>
      </c>
      <c r="D533" s="8" t="s">
        <v>33</v>
      </c>
      <c r="E533" s="9" t="n">
        <v>45674</v>
      </c>
      <c r="F533" s="8" t="n">
        <f aca="true">IF(E533="","",ROUND((TODAY()-E533)/7,1))</f>
        <v>73.3</v>
      </c>
      <c r="G533" s="8" t="s">
        <v>38</v>
      </c>
      <c r="H533" s="8"/>
      <c r="I533" s="8" t="s">
        <v>824</v>
      </c>
      <c r="J533" s="8" t="s">
        <v>825</v>
      </c>
      <c r="K533" s="8" t="n">
        <v>2</v>
      </c>
      <c r="L533" s="10"/>
      <c r="M533" s="10"/>
      <c r="N533" s="10" t="s">
        <v>35</v>
      </c>
      <c r="O533" s="10" t="s">
        <v>35</v>
      </c>
      <c r="P533" s="8" t="str">
        <f aca="false">MID(IF(L533="","","; APP:"&amp;L533)&amp;IF(M533="","","; PS1:"&amp;M533)&amp;IF(N533="","","; AQP4:"&amp;N533)&amp;IF(O533="","","; CAG-EGFP:"&amp;O533),3,200)</f>
        <v>AQP4:+/+; CAG-EGFP:+/+</v>
      </c>
      <c r="Q533" s="8" t="s">
        <v>47</v>
      </c>
      <c r="R533" s="8" t="s">
        <v>88</v>
      </c>
      <c r="S533" s="8"/>
      <c r="T533" s="8" t="s">
        <v>826</v>
      </c>
    </row>
    <row r="534" customFormat="false" ht="15" hidden="false" customHeight="false" outlineLevel="0" collapsed="false">
      <c r="A534" s="7" t="s">
        <v>829</v>
      </c>
      <c r="B534" s="8" t="s">
        <v>119</v>
      </c>
      <c r="C534" s="8" t="n">
        <v>25</v>
      </c>
      <c r="D534" s="8" t="s">
        <v>33</v>
      </c>
      <c r="E534" s="9" t="n">
        <v>45674</v>
      </c>
      <c r="F534" s="8" t="n">
        <f aca="true">IF(E534="","",ROUND((TODAY()-E534)/7,1))</f>
        <v>73.3</v>
      </c>
      <c r="G534" s="8" t="s">
        <v>38</v>
      </c>
      <c r="H534" s="8"/>
      <c r="I534" s="8" t="s">
        <v>824</v>
      </c>
      <c r="J534" s="8" t="s">
        <v>825</v>
      </c>
      <c r="K534" s="8" t="n">
        <v>2</v>
      </c>
      <c r="L534" s="10"/>
      <c r="M534" s="10"/>
      <c r="N534" s="10" t="s">
        <v>35</v>
      </c>
      <c r="O534" s="10" t="s">
        <v>62</v>
      </c>
      <c r="P534" s="8" t="str">
        <f aca="false">MID(IF(L534="","","; APP:"&amp;L534)&amp;IF(M534="","","; PS1:"&amp;M534)&amp;IF(N534="","","; AQP4:"&amp;N534)&amp;IF(O534="","","; CAG-EGFP:"&amp;O534),3,200)</f>
        <v>AQP4:+/+; CAG-EGFP:-/-</v>
      </c>
      <c r="Q534" s="8" t="s">
        <v>47</v>
      </c>
      <c r="R534" s="8" t="s">
        <v>88</v>
      </c>
      <c r="S534" s="8"/>
      <c r="T534" s="8" t="s">
        <v>799</v>
      </c>
    </row>
    <row r="535" customFormat="false" ht="15" hidden="false" customHeight="false" outlineLevel="0" collapsed="false">
      <c r="A535" s="7" t="s">
        <v>830</v>
      </c>
      <c r="B535" s="8" t="s">
        <v>119</v>
      </c>
      <c r="C535" s="8" t="n">
        <v>26</v>
      </c>
      <c r="D535" s="8" t="s">
        <v>46</v>
      </c>
      <c r="E535" s="9" t="n">
        <v>45674</v>
      </c>
      <c r="F535" s="8" t="n">
        <f aca="true">IF(E535="","",ROUND((TODAY()-E535)/7,1))</f>
        <v>73.3</v>
      </c>
      <c r="G535" s="8" t="s">
        <v>38</v>
      </c>
      <c r="H535" s="8"/>
      <c r="I535" s="8" t="s">
        <v>824</v>
      </c>
      <c r="J535" s="8" t="s">
        <v>825</v>
      </c>
      <c r="K535" s="8" t="n">
        <v>2</v>
      </c>
      <c r="L535" s="10"/>
      <c r="M535" s="10"/>
      <c r="N535" s="10" t="s">
        <v>48</v>
      </c>
      <c r="O535" s="10" t="s">
        <v>48</v>
      </c>
      <c r="P535" s="8" t="str">
        <f aca="false">MID(IF(L535="","","; APP:"&amp;L535)&amp;IF(M535="","","; PS1:"&amp;M535)&amp;IF(N535="","","; AQP4:"&amp;N535)&amp;IF(O535="","","; CAG-EGFP:"&amp;O535),3,200)</f>
        <v>AQP4:+/-; CAG-EGFP:+/-</v>
      </c>
      <c r="Q535" s="8" t="s">
        <v>47</v>
      </c>
      <c r="R535" s="8" t="s">
        <v>88</v>
      </c>
      <c r="S535" s="8"/>
      <c r="T535" s="8" t="s">
        <v>799</v>
      </c>
    </row>
    <row r="536" customFormat="false" ht="15" hidden="false" customHeight="false" outlineLevel="0" collapsed="false">
      <c r="A536" s="7" t="s">
        <v>831</v>
      </c>
      <c r="B536" s="8" t="s">
        <v>119</v>
      </c>
      <c r="C536" s="8" t="n">
        <v>27</v>
      </c>
      <c r="D536" s="8" t="s">
        <v>46</v>
      </c>
      <c r="E536" s="9" t="n">
        <v>45674</v>
      </c>
      <c r="F536" s="8" t="n">
        <f aca="true">IF(E536="","",ROUND((TODAY()-E536)/7,1))</f>
        <v>73.3</v>
      </c>
      <c r="G536" s="8" t="s">
        <v>38</v>
      </c>
      <c r="H536" s="8"/>
      <c r="I536" s="8" t="s">
        <v>824</v>
      </c>
      <c r="J536" s="8" t="s">
        <v>825</v>
      </c>
      <c r="K536" s="8" t="n">
        <v>2</v>
      </c>
      <c r="L536" s="10"/>
      <c r="M536" s="10"/>
      <c r="N536" s="10" t="s">
        <v>48</v>
      </c>
      <c r="O536" s="10" t="s">
        <v>48</v>
      </c>
      <c r="P536" s="8" t="str">
        <f aca="false">MID(IF(L536="","","; APP:"&amp;L536)&amp;IF(M536="","","; PS1:"&amp;M536)&amp;IF(N536="","","; AQP4:"&amp;N536)&amp;IF(O536="","","; CAG-EGFP:"&amp;O536),3,200)</f>
        <v>AQP4:+/-; CAG-EGFP:+/-</v>
      </c>
      <c r="Q536" s="8" t="s">
        <v>47</v>
      </c>
      <c r="R536" s="8" t="s">
        <v>88</v>
      </c>
      <c r="S536" s="8"/>
      <c r="T536" s="8" t="s">
        <v>799</v>
      </c>
    </row>
    <row r="537" customFormat="false" ht="15" hidden="false" customHeight="false" outlineLevel="0" collapsed="false">
      <c r="A537" s="7" t="s">
        <v>832</v>
      </c>
      <c r="B537" s="8" t="s">
        <v>119</v>
      </c>
      <c r="C537" s="8" t="n">
        <v>28</v>
      </c>
      <c r="D537" s="8" t="s">
        <v>46</v>
      </c>
      <c r="E537" s="9" t="n">
        <v>45674</v>
      </c>
      <c r="F537" s="8" t="n">
        <f aca="true">IF(E537="","",ROUND((TODAY()-E537)/7,1))</f>
        <v>73.3</v>
      </c>
      <c r="G537" s="8" t="s">
        <v>38</v>
      </c>
      <c r="H537" s="8"/>
      <c r="I537" s="8" t="s">
        <v>824</v>
      </c>
      <c r="J537" s="8" t="s">
        <v>825</v>
      </c>
      <c r="K537" s="8" t="n">
        <v>2</v>
      </c>
      <c r="L537" s="10"/>
      <c r="M537" s="10"/>
      <c r="N537" s="10" t="s">
        <v>35</v>
      </c>
      <c r="O537" s="10" t="s">
        <v>48</v>
      </c>
      <c r="P537" s="8" t="str">
        <f aca="false">MID(IF(L537="","","; APP:"&amp;L537)&amp;IF(M537="","","; PS1:"&amp;M537)&amp;IF(N537="","","; AQP4:"&amp;N537)&amp;IF(O537="","","; CAG-EGFP:"&amp;O537),3,200)</f>
        <v>AQP4:+/+; CAG-EGFP:+/-</v>
      </c>
      <c r="Q537" s="8" t="s">
        <v>47</v>
      </c>
      <c r="R537" s="8" t="s">
        <v>88</v>
      </c>
      <c r="S537" s="8"/>
      <c r="T537" s="8" t="s">
        <v>799</v>
      </c>
    </row>
    <row r="538" customFormat="false" ht="15" hidden="false" customHeight="false" outlineLevel="0" collapsed="false">
      <c r="A538" s="7" t="s">
        <v>833</v>
      </c>
      <c r="B538" s="8" t="s">
        <v>119</v>
      </c>
      <c r="C538" s="8" t="n">
        <v>29</v>
      </c>
      <c r="D538" s="8" t="s">
        <v>46</v>
      </c>
      <c r="E538" s="9" t="n">
        <v>45674</v>
      </c>
      <c r="F538" s="8" t="n">
        <f aca="true">IF(E538="","",ROUND((TODAY()-E538)/7,1))</f>
        <v>73.3</v>
      </c>
      <c r="G538" s="8" t="s">
        <v>38</v>
      </c>
      <c r="H538" s="8"/>
      <c r="I538" s="8" t="s">
        <v>824</v>
      </c>
      <c r="J538" s="8" t="s">
        <v>825</v>
      </c>
      <c r="K538" s="8" t="n">
        <v>2</v>
      </c>
      <c r="L538" s="10"/>
      <c r="M538" s="10"/>
      <c r="N538" s="10" t="s">
        <v>48</v>
      </c>
      <c r="O538" s="10" t="s">
        <v>48</v>
      </c>
      <c r="P538" s="8" t="str">
        <f aca="false">MID(IF(L538="","","; APP:"&amp;L538)&amp;IF(M538="","","; PS1:"&amp;M538)&amp;IF(N538="","","; AQP4:"&amp;N538)&amp;IF(O538="","","; CAG-EGFP:"&amp;O538),3,200)</f>
        <v>AQP4:+/-; CAG-EGFP:+/-</v>
      </c>
      <c r="Q538" s="8" t="s">
        <v>47</v>
      </c>
      <c r="R538" s="8" t="s">
        <v>88</v>
      </c>
      <c r="S538" s="8"/>
      <c r="T538" s="8" t="s">
        <v>799</v>
      </c>
    </row>
    <row r="539" customFormat="false" ht="15" hidden="false" customHeight="false" outlineLevel="0" collapsed="false">
      <c r="A539" s="7" t="s">
        <v>834</v>
      </c>
      <c r="B539" s="8" t="s">
        <v>119</v>
      </c>
      <c r="C539" s="8" t="n">
        <v>30</v>
      </c>
      <c r="D539" s="8" t="s">
        <v>46</v>
      </c>
      <c r="E539" s="9" t="n">
        <v>45674</v>
      </c>
      <c r="F539" s="8" t="n">
        <f aca="true">IF(E539="","",ROUND((TODAY()-E539)/7,1))</f>
        <v>73.3</v>
      </c>
      <c r="G539" s="8" t="s">
        <v>38</v>
      </c>
      <c r="H539" s="8"/>
      <c r="I539" s="8" t="s">
        <v>824</v>
      </c>
      <c r="J539" s="8" t="s">
        <v>825</v>
      </c>
      <c r="K539" s="8" t="n">
        <v>2</v>
      </c>
      <c r="L539" s="10"/>
      <c r="M539" s="10"/>
      <c r="N539" s="10" t="s">
        <v>62</v>
      </c>
      <c r="O539" s="10" t="s">
        <v>62</v>
      </c>
      <c r="P539" s="8" t="str">
        <f aca="false">MID(IF(L539="","","; APP:"&amp;L539)&amp;IF(M539="","","; PS1:"&amp;M539)&amp;IF(N539="","","; AQP4:"&amp;N539)&amp;IF(O539="","","; CAG-EGFP:"&amp;O539),3,200)</f>
        <v>AQP4:-/-; CAG-EGFP:-/-</v>
      </c>
      <c r="Q539" s="8" t="s">
        <v>47</v>
      </c>
      <c r="R539" s="8" t="s">
        <v>88</v>
      </c>
      <c r="S539" s="8"/>
      <c r="T539" s="8" t="s">
        <v>799</v>
      </c>
    </row>
    <row r="540" customFormat="false" ht="15" hidden="false" customHeight="false" outlineLevel="0" collapsed="false">
      <c r="A540" s="7" t="s">
        <v>835</v>
      </c>
      <c r="B540" s="8" t="s">
        <v>119</v>
      </c>
      <c r="C540" s="8" t="n">
        <v>31</v>
      </c>
      <c r="D540" s="8" t="s">
        <v>46</v>
      </c>
      <c r="E540" s="9" t="n">
        <v>45674</v>
      </c>
      <c r="F540" s="8" t="n">
        <f aca="true">IF(E540="","",ROUND((TODAY()-E540)/7,1))</f>
        <v>73.3</v>
      </c>
      <c r="G540" s="8" t="s">
        <v>38</v>
      </c>
      <c r="H540" s="8"/>
      <c r="I540" s="8" t="s">
        <v>824</v>
      </c>
      <c r="J540" s="8" t="s">
        <v>825</v>
      </c>
      <c r="K540" s="8" t="n">
        <v>2</v>
      </c>
      <c r="L540" s="10"/>
      <c r="M540" s="10"/>
      <c r="N540" s="10" t="s">
        <v>62</v>
      </c>
      <c r="O540" s="10" t="s">
        <v>35</v>
      </c>
      <c r="P540" s="8" t="str">
        <f aca="false">MID(IF(L540="","","; APP:"&amp;L540)&amp;IF(M540="","","; PS1:"&amp;M540)&amp;IF(N540="","","; AQP4:"&amp;N540)&amp;IF(O540="","","; CAG-EGFP:"&amp;O540),3,200)</f>
        <v>AQP4:-/-; CAG-EGFP:+/+</v>
      </c>
      <c r="Q540" s="8" t="s">
        <v>47</v>
      </c>
      <c r="R540" s="8" t="s">
        <v>88</v>
      </c>
      <c r="S540" s="8"/>
      <c r="T540" s="8" t="s">
        <v>836</v>
      </c>
    </row>
    <row r="541" customFormat="false" ht="15" hidden="false" customHeight="false" outlineLevel="0" collapsed="false">
      <c r="A541" s="7" t="s">
        <v>837</v>
      </c>
      <c r="B541" s="8" t="s">
        <v>119</v>
      </c>
      <c r="C541" s="8" t="n">
        <v>32</v>
      </c>
      <c r="D541" s="8" t="s">
        <v>46</v>
      </c>
      <c r="E541" s="9" t="n">
        <v>45674</v>
      </c>
      <c r="F541" s="8" t="n">
        <f aca="true">IF(E541="","",ROUND((TODAY()-E541)/7,1))</f>
        <v>73.3</v>
      </c>
      <c r="G541" s="8" t="s">
        <v>38</v>
      </c>
      <c r="H541" s="8"/>
      <c r="I541" s="8" t="s">
        <v>824</v>
      </c>
      <c r="J541" s="8" t="s">
        <v>825</v>
      </c>
      <c r="K541" s="8" t="n">
        <v>2</v>
      </c>
      <c r="L541" s="10"/>
      <c r="M541" s="10"/>
      <c r="N541" s="10" t="s">
        <v>48</v>
      </c>
      <c r="O541" s="10" t="s">
        <v>48</v>
      </c>
      <c r="P541" s="8" t="str">
        <f aca="false">MID(IF(L541="","","; APP:"&amp;L541)&amp;IF(M541="","","; PS1:"&amp;M541)&amp;IF(N541="","","; AQP4:"&amp;N541)&amp;IF(O541="","","; CAG-EGFP:"&amp;O541),3,200)</f>
        <v>AQP4:+/-; CAG-EGFP:+/-</v>
      </c>
      <c r="Q541" s="8" t="s">
        <v>47</v>
      </c>
      <c r="R541" s="8" t="s">
        <v>88</v>
      </c>
      <c r="S541" s="8"/>
      <c r="T541" s="8" t="s">
        <v>799</v>
      </c>
    </row>
    <row r="542" customFormat="false" ht="15" hidden="false" customHeight="false" outlineLevel="0" collapsed="false">
      <c r="A542" s="7" t="s">
        <v>838</v>
      </c>
      <c r="B542" s="8" t="s">
        <v>119</v>
      </c>
      <c r="C542" s="8" t="n">
        <v>33</v>
      </c>
      <c r="D542" s="8" t="s">
        <v>33</v>
      </c>
      <c r="E542" s="9" t="n">
        <v>45675</v>
      </c>
      <c r="F542" s="8" t="n">
        <f aca="true">IF(E542="","",ROUND((TODAY()-E542)/7,1))</f>
        <v>73.1</v>
      </c>
      <c r="G542" s="8" t="s">
        <v>38</v>
      </c>
      <c r="H542" s="8"/>
      <c r="I542" s="8" t="s">
        <v>824</v>
      </c>
      <c r="J542" s="8" t="s">
        <v>839</v>
      </c>
      <c r="K542" s="8" t="n">
        <v>2</v>
      </c>
      <c r="L542" s="10"/>
      <c r="M542" s="10"/>
      <c r="N542" s="10" t="s">
        <v>48</v>
      </c>
      <c r="O542" s="10" t="s">
        <v>35</v>
      </c>
      <c r="P542" s="8" t="str">
        <f aca="false">MID(IF(L542="","","; APP:"&amp;L542)&amp;IF(M542="","","; PS1:"&amp;M542)&amp;IF(N542="","","; AQP4:"&amp;N542)&amp;IF(O542="","","; CAG-EGFP:"&amp;O542),3,200)</f>
        <v>AQP4:+/-; CAG-EGFP:+/+</v>
      </c>
      <c r="Q542" s="8" t="s">
        <v>47</v>
      </c>
      <c r="R542" s="8" t="s">
        <v>88</v>
      </c>
      <c r="S542" s="8"/>
      <c r="T542" s="8" t="s">
        <v>799</v>
      </c>
    </row>
    <row r="543" customFormat="false" ht="15" hidden="false" customHeight="false" outlineLevel="0" collapsed="false">
      <c r="A543" s="7" t="s">
        <v>840</v>
      </c>
      <c r="B543" s="8" t="s">
        <v>119</v>
      </c>
      <c r="C543" s="8" t="n">
        <v>34</v>
      </c>
      <c r="D543" s="8" t="s">
        <v>33</v>
      </c>
      <c r="E543" s="9" t="n">
        <v>45675</v>
      </c>
      <c r="F543" s="8" t="n">
        <f aca="true">IF(E543="","",ROUND((TODAY()-E543)/7,1))</f>
        <v>73.1</v>
      </c>
      <c r="G543" s="8" t="s">
        <v>38</v>
      </c>
      <c r="H543" s="8"/>
      <c r="I543" s="8" t="s">
        <v>824</v>
      </c>
      <c r="J543" s="8" t="s">
        <v>839</v>
      </c>
      <c r="K543" s="8" t="n">
        <v>2</v>
      </c>
      <c r="L543" s="10"/>
      <c r="M543" s="10"/>
      <c r="N543" s="10" t="s">
        <v>48</v>
      </c>
      <c r="O543" s="10" t="s">
        <v>48</v>
      </c>
      <c r="P543" s="8" t="str">
        <f aca="false">MID(IF(L543="","","; APP:"&amp;L543)&amp;IF(M543="","","; PS1:"&amp;M543)&amp;IF(N543="","","; AQP4:"&amp;N543)&amp;IF(O543="","","; CAG-EGFP:"&amp;O543),3,200)</f>
        <v>AQP4:+/-; CAG-EGFP:+/-</v>
      </c>
      <c r="Q543" s="8" t="s">
        <v>47</v>
      </c>
      <c r="R543" s="8" t="s">
        <v>88</v>
      </c>
      <c r="S543" s="8"/>
      <c r="T543" s="8" t="s">
        <v>799</v>
      </c>
    </row>
    <row r="544" customFormat="false" ht="15" hidden="false" customHeight="false" outlineLevel="0" collapsed="false">
      <c r="A544" s="7" t="s">
        <v>841</v>
      </c>
      <c r="B544" s="8" t="s">
        <v>119</v>
      </c>
      <c r="C544" s="8" t="n">
        <v>35</v>
      </c>
      <c r="D544" s="8" t="s">
        <v>33</v>
      </c>
      <c r="E544" s="9" t="n">
        <v>45675</v>
      </c>
      <c r="F544" s="8" t="n">
        <f aca="true">IF(E544="","",ROUND((TODAY()-E544)/7,1))</f>
        <v>73.1</v>
      </c>
      <c r="G544" s="8" t="s">
        <v>38</v>
      </c>
      <c r="H544" s="8"/>
      <c r="I544" s="8" t="s">
        <v>824</v>
      </c>
      <c r="J544" s="8" t="s">
        <v>839</v>
      </c>
      <c r="K544" s="8" t="n">
        <v>2</v>
      </c>
      <c r="L544" s="10"/>
      <c r="M544" s="10"/>
      <c r="N544" s="10" t="s">
        <v>35</v>
      </c>
      <c r="O544" s="10" t="s">
        <v>48</v>
      </c>
      <c r="P544" s="8" t="str">
        <f aca="false">MID(IF(L544="","","; APP:"&amp;L544)&amp;IF(M544="","","; PS1:"&amp;M544)&amp;IF(N544="","","; AQP4:"&amp;N544)&amp;IF(O544="","","; CAG-EGFP:"&amp;O544),3,200)</f>
        <v>AQP4:+/+; CAG-EGFP:+/-</v>
      </c>
      <c r="Q544" s="8" t="s">
        <v>47</v>
      </c>
      <c r="R544" s="8" t="s">
        <v>88</v>
      </c>
      <c r="S544" s="8"/>
      <c r="T544" s="8" t="s">
        <v>799</v>
      </c>
    </row>
    <row r="545" customFormat="false" ht="15" hidden="false" customHeight="false" outlineLevel="0" collapsed="false">
      <c r="A545" s="7" t="s">
        <v>842</v>
      </c>
      <c r="B545" s="8" t="s">
        <v>119</v>
      </c>
      <c r="C545" s="8" t="n">
        <v>36</v>
      </c>
      <c r="D545" s="8" t="s">
        <v>33</v>
      </c>
      <c r="E545" s="9" t="n">
        <v>45675</v>
      </c>
      <c r="F545" s="8" t="n">
        <f aca="true">IF(E545="","",ROUND((TODAY()-E545)/7,1))</f>
        <v>73.1</v>
      </c>
      <c r="G545" s="8" t="s">
        <v>38</v>
      </c>
      <c r="H545" s="8"/>
      <c r="I545" s="8" t="s">
        <v>824</v>
      </c>
      <c r="J545" s="8" t="s">
        <v>839</v>
      </c>
      <c r="K545" s="8" t="n">
        <v>2</v>
      </c>
      <c r="L545" s="10"/>
      <c r="M545" s="10"/>
      <c r="N545" s="10" t="s">
        <v>48</v>
      </c>
      <c r="O545" s="10" t="s">
        <v>48</v>
      </c>
      <c r="P545" s="8" t="str">
        <f aca="false">MID(IF(L545="","","; APP:"&amp;L545)&amp;IF(M545="","","; PS1:"&amp;M545)&amp;IF(N545="","","; AQP4:"&amp;N545)&amp;IF(O545="","","; CAG-EGFP:"&amp;O545),3,200)</f>
        <v>AQP4:+/-; CAG-EGFP:+/-</v>
      </c>
      <c r="Q545" s="8" t="s">
        <v>47</v>
      </c>
      <c r="R545" s="8" t="s">
        <v>88</v>
      </c>
      <c r="S545" s="8"/>
      <c r="T545" s="8" t="s">
        <v>799</v>
      </c>
    </row>
    <row r="546" customFormat="false" ht="15" hidden="false" customHeight="false" outlineLevel="0" collapsed="false">
      <c r="A546" s="7" t="s">
        <v>843</v>
      </c>
      <c r="B546" s="8" t="s">
        <v>119</v>
      </c>
      <c r="C546" s="8" t="n">
        <v>37</v>
      </c>
      <c r="D546" s="8" t="s">
        <v>33</v>
      </c>
      <c r="E546" s="9" t="n">
        <v>45675</v>
      </c>
      <c r="F546" s="8" t="n">
        <f aca="true">IF(E546="","",ROUND((TODAY()-E546)/7,1))</f>
        <v>73.1</v>
      </c>
      <c r="G546" s="8" t="s">
        <v>38</v>
      </c>
      <c r="H546" s="8"/>
      <c r="I546" s="8" t="s">
        <v>824</v>
      </c>
      <c r="J546" s="8" t="s">
        <v>839</v>
      </c>
      <c r="K546" s="8" t="n">
        <v>2</v>
      </c>
      <c r="L546" s="10"/>
      <c r="M546" s="10"/>
      <c r="N546" s="10" t="s">
        <v>62</v>
      </c>
      <c r="O546" s="10" t="s">
        <v>35</v>
      </c>
      <c r="P546" s="8" t="str">
        <f aca="false">MID(IF(L546="","","; APP:"&amp;L546)&amp;IF(M546="","","; PS1:"&amp;M546)&amp;IF(N546="","","; AQP4:"&amp;N546)&amp;IF(O546="","","; CAG-EGFP:"&amp;O546),3,200)</f>
        <v>AQP4:-/-; CAG-EGFP:+/+</v>
      </c>
      <c r="Q546" s="8" t="s">
        <v>47</v>
      </c>
      <c r="R546" s="8" t="s">
        <v>88</v>
      </c>
      <c r="S546" s="8"/>
      <c r="T546" s="8" t="s">
        <v>836</v>
      </c>
    </row>
    <row r="547" customFormat="false" ht="15" hidden="false" customHeight="false" outlineLevel="0" collapsed="false">
      <c r="A547" s="7" t="s">
        <v>844</v>
      </c>
      <c r="B547" s="8" t="s">
        <v>119</v>
      </c>
      <c r="C547" s="8" t="n">
        <v>38</v>
      </c>
      <c r="D547" s="8" t="s">
        <v>46</v>
      </c>
      <c r="E547" s="9" t="n">
        <v>45675</v>
      </c>
      <c r="F547" s="8" t="n">
        <f aca="true">IF(E547="","",ROUND((TODAY()-E547)/7,1))</f>
        <v>73.1</v>
      </c>
      <c r="G547" s="8" t="s">
        <v>38</v>
      </c>
      <c r="H547" s="8"/>
      <c r="I547" s="8" t="s">
        <v>824</v>
      </c>
      <c r="J547" s="8" t="s">
        <v>839</v>
      </c>
      <c r="K547" s="8" t="n">
        <v>2</v>
      </c>
      <c r="L547" s="10"/>
      <c r="M547" s="10"/>
      <c r="N547" s="10" t="s">
        <v>35</v>
      </c>
      <c r="O547" s="10" t="s">
        <v>62</v>
      </c>
      <c r="P547" s="8" t="str">
        <f aca="false">MID(IF(L547="","","; APP:"&amp;L547)&amp;IF(M547="","","; PS1:"&amp;M547)&amp;IF(N547="","","; AQP4:"&amp;N547)&amp;IF(O547="","","; CAG-EGFP:"&amp;O547),3,200)</f>
        <v>AQP4:+/+; CAG-EGFP:-/-</v>
      </c>
      <c r="Q547" s="8" t="s">
        <v>47</v>
      </c>
      <c r="R547" s="8" t="s">
        <v>88</v>
      </c>
      <c r="S547" s="8"/>
      <c r="T547" s="8" t="s">
        <v>799</v>
      </c>
    </row>
    <row r="548" customFormat="false" ht="15" hidden="false" customHeight="false" outlineLevel="0" collapsed="false">
      <c r="A548" s="7" t="s">
        <v>845</v>
      </c>
      <c r="B548" s="8" t="s">
        <v>119</v>
      </c>
      <c r="C548" s="8" t="n">
        <v>39</v>
      </c>
      <c r="D548" s="8" t="s">
        <v>46</v>
      </c>
      <c r="E548" s="9" t="n">
        <v>45675</v>
      </c>
      <c r="F548" s="8" t="n">
        <f aca="true">IF(E548="","",ROUND((TODAY()-E548)/7,1))</f>
        <v>73.1</v>
      </c>
      <c r="G548" s="8" t="s">
        <v>38</v>
      </c>
      <c r="H548" s="8"/>
      <c r="I548" s="8" t="s">
        <v>824</v>
      </c>
      <c r="J548" s="8" t="s">
        <v>839</v>
      </c>
      <c r="K548" s="8" t="n">
        <v>2</v>
      </c>
      <c r="L548" s="10"/>
      <c r="M548" s="10"/>
      <c r="N548" s="10" t="s">
        <v>48</v>
      </c>
      <c r="O548" s="10" t="s">
        <v>48</v>
      </c>
      <c r="P548" s="8" t="str">
        <f aca="false">MID(IF(L548="","","; APP:"&amp;L548)&amp;IF(M548="","","; PS1:"&amp;M548)&amp;IF(N548="","","; AQP4:"&amp;N548)&amp;IF(O548="","","; CAG-EGFP:"&amp;O548),3,200)</f>
        <v>AQP4:+/-; CAG-EGFP:+/-</v>
      </c>
      <c r="Q548" s="8" t="s">
        <v>47</v>
      </c>
      <c r="R548" s="8" t="s">
        <v>88</v>
      </c>
      <c r="S548" s="8"/>
      <c r="T548" s="8" t="s">
        <v>799</v>
      </c>
    </row>
    <row r="549" customFormat="false" ht="15" hidden="false" customHeight="false" outlineLevel="0" collapsed="false">
      <c r="A549" s="7" t="s">
        <v>846</v>
      </c>
      <c r="B549" s="8" t="s">
        <v>119</v>
      </c>
      <c r="C549" s="8" t="n">
        <v>40</v>
      </c>
      <c r="D549" s="8" t="s">
        <v>46</v>
      </c>
      <c r="E549" s="9" t="n">
        <v>45675</v>
      </c>
      <c r="F549" s="8" t="n">
        <f aca="true">IF(E549="","",ROUND((TODAY()-E549)/7,1))</f>
        <v>73.1</v>
      </c>
      <c r="G549" s="8" t="s">
        <v>38</v>
      </c>
      <c r="H549" s="8"/>
      <c r="I549" s="8" t="s">
        <v>824</v>
      </c>
      <c r="J549" s="8" t="s">
        <v>839</v>
      </c>
      <c r="K549" s="8" t="n">
        <v>2</v>
      </c>
      <c r="L549" s="10"/>
      <c r="M549" s="10"/>
      <c r="N549" s="10" t="s">
        <v>48</v>
      </c>
      <c r="O549" s="10" t="s">
        <v>62</v>
      </c>
      <c r="P549" s="8" t="str">
        <f aca="false">MID(IF(L549="","","; APP:"&amp;L549)&amp;IF(M549="","","; PS1:"&amp;M549)&amp;IF(N549="","","; AQP4:"&amp;N549)&amp;IF(O549="","","; CAG-EGFP:"&amp;O549),3,200)</f>
        <v>AQP4:+/-; CAG-EGFP:-/-</v>
      </c>
      <c r="Q549" s="8" t="s">
        <v>47</v>
      </c>
      <c r="R549" s="8" t="s">
        <v>88</v>
      </c>
      <c r="S549" s="8"/>
      <c r="T549" s="8" t="s">
        <v>799</v>
      </c>
    </row>
    <row r="550" customFormat="false" ht="15" hidden="false" customHeight="false" outlineLevel="0" collapsed="false">
      <c r="A550" s="7" t="s">
        <v>847</v>
      </c>
      <c r="B550" s="8" t="s">
        <v>119</v>
      </c>
      <c r="C550" s="8" t="n">
        <v>41</v>
      </c>
      <c r="D550" s="8" t="s">
        <v>33</v>
      </c>
      <c r="E550" s="9" t="n">
        <v>45681</v>
      </c>
      <c r="F550" s="8" t="n">
        <f aca="true">IF(E550="","",ROUND((TODAY()-E550)/7,1))</f>
        <v>72.3</v>
      </c>
      <c r="G550" s="8" t="s">
        <v>38</v>
      </c>
      <c r="H550" s="8"/>
      <c r="I550" s="8" t="s">
        <v>848</v>
      </c>
      <c r="J550" s="8" t="s">
        <v>849</v>
      </c>
      <c r="K550" s="8" t="n">
        <v>2</v>
      </c>
      <c r="L550" s="10"/>
      <c r="M550" s="10"/>
      <c r="N550" s="10" t="s">
        <v>35</v>
      </c>
      <c r="O550" s="10" t="s">
        <v>35</v>
      </c>
      <c r="P550" s="8" t="str">
        <f aca="false">MID(IF(L550="","","; APP:"&amp;L550)&amp;IF(M550="","","; PS1:"&amp;M550)&amp;IF(N550="","","; AQP4:"&amp;N550)&amp;IF(O550="","","; CAG-EGFP:"&amp;O550),3,200)</f>
        <v>AQP4:+/+; CAG-EGFP:+/+</v>
      </c>
      <c r="Q550" s="8" t="s">
        <v>47</v>
      </c>
      <c r="R550" s="8" t="s">
        <v>88</v>
      </c>
      <c r="S550" s="8"/>
      <c r="T550" s="8" t="s">
        <v>799</v>
      </c>
    </row>
    <row r="551" customFormat="false" ht="15" hidden="false" customHeight="false" outlineLevel="0" collapsed="false">
      <c r="A551" s="7" t="s">
        <v>850</v>
      </c>
      <c r="B551" s="8" t="s">
        <v>119</v>
      </c>
      <c r="C551" s="8" t="n">
        <v>42</v>
      </c>
      <c r="D551" s="8" t="s">
        <v>33</v>
      </c>
      <c r="E551" s="9" t="n">
        <v>45681</v>
      </c>
      <c r="F551" s="8" t="n">
        <f aca="true">IF(E551="","",ROUND((TODAY()-E551)/7,1))</f>
        <v>72.3</v>
      </c>
      <c r="G551" s="8" t="s">
        <v>38</v>
      </c>
      <c r="H551" s="8"/>
      <c r="I551" s="8" t="s">
        <v>848</v>
      </c>
      <c r="J551" s="8" t="s">
        <v>849</v>
      </c>
      <c r="K551" s="8" t="n">
        <v>2</v>
      </c>
      <c r="L551" s="10"/>
      <c r="M551" s="10"/>
      <c r="N551" s="10" t="s">
        <v>62</v>
      </c>
      <c r="O551" s="10" t="s">
        <v>62</v>
      </c>
      <c r="P551" s="8" t="str">
        <f aca="false">MID(IF(L551="","","; APP:"&amp;L551)&amp;IF(M551="","","; PS1:"&amp;M551)&amp;IF(N551="","","; AQP4:"&amp;N551)&amp;IF(O551="","","; CAG-EGFP:"&amp;O551),3,200)</f>
        <v>AQP4:-/-; CAG-EGFP:-/-</v>
      </c>
      <c r="Q551" s="8" t="s">
        <v>47</v>
      </c>
      <c r="R551" s="8" t="s">
        <v>88</v>
      </c>
      <c r="S551" s="8"/>
      <c r="T551" s="8" t="s">
        <v>799</v>
      </c>
    </row>
    <row r="552" customFormat="false" ht="15" hidden="false" customHeight="false" outlineLevel="0" collapsed="false">
      <c r="A552" s="7" t="s">
        <v>851</v>
      </c>
      <c r="B552" s="8" t="s">
        <v>119</v>
      </c>
      <c r="C552" s="8" t="n">
        <v>43</v>
      </c>
      <c r="D552" s="8" t="s">
        <v>46</v>
      </c>
      <c r="E552" s="9" t="n">
        <v>45681</v>
      </c>
      <c r="F552" s="8" t="n">
        <f aca="true">IF(E552="","",ROUND((TODAY()-E552)/7,1))</f>
        <v>72.3</v>
      </c>
      <c r="G552" s="8" t="s">
        <v>38</v>
      </c>
      <c r="H552" s="8"/>
      <c r="I552" s="8" t="s">
        <v>848</v>
      </c>
      <c r="J552" s="8" t="s">
        <v>849</v>
      </c>
      <c r="K552" s="8" t="n">
        <v>2</v>
      </c>
      <c r="L552" s="10"/>
      <c r="M552" s="10"/>
      <c r="N552" s="10" t="s">
        <v>35</v>
      </c>
      <c r="O552" s="10" t="s">
        <v>48</v>
      </c>
      <c r="P552" s="8" t="str">
        <f aca="false">MID(IF(L552="","","; APP:"&amp;L552)&amp;IF(M552="","","; PS1:"&amp;M552)&amp;IF(N552="","","; AQP4:"&amp;N552)&amp;IF(O552="","","; CAG-EGFP:"&amp;O552),3,200)</f>
        <v>AQP4:+/+; CAG-EGFP:+/-</v>
      </c>
      <c r="Q552" s="8" t="s">
        <v>47</v>
      </c>
      <c r="R552" s="8" t="s">
        <v>88</v>
      </c>
      <c r="S552" s="8"/>
      <c r="T552" s="8" t="s">
        <v>799</v>
      </c>
    </row>
    <row r="553" customFormat="false" ht="15" hidden="false" customHeight="false" outlineLevel="0" collapsed="false">
      <c r="A553" s="7" t="s">
        <v>852</v>
      </c>
      <c r="B553" s="8" t="s">
        <v>119</v>
      </c>
      <c r="C553" s="8" t="n">
        <v>44</v>
      </c>
      <c r="D553" s="8" t="s">
        <v>33</v>
      </c>
      <c r="E553" s="9" t="n">
        <v>45769</v>
      </c>
      <c r="F553" s="8" t="n">
        <f aca="true">IF(E553="","",ROUND((TODAY()-E553)/7,1))</f>
        <v>59.7</v>
      </c>
      <c r="G553" s="8" t="s">
        <v>38</v>
      </c>
      <c r="H553" s="8"/>
      <c r="I553" s="8" t="s">
        <v>848</v>
      </c>
      <c r="J553" s="8" t="s">
        <v>853</v>
      </c>
      <c r="K553" s="8" t="n">
        <v>2</v>
      </c>
      <c r="L553" s="10"/>
      <c r="M553" s="10"/>
      <c r="N553" s="10" t="s">
        <v>48</v>
      </c>
      <c r="O553" s="10" t="s">
        <v>35</v>
      </c>
      <c r="P553" s="8" t="str">
        <f aca="false">MID(IF(L553="","","; APP:"&amp;L553)&amp;IF(M553="","","; PS1:"&amp;M553)&amp;IF(N553="","","; AQP4:"&amp;N553)&amp;IF(O553="","","; CAG-EGFP:"&amp;O553),3,200)</f>
        <v>AQP4:+/-; CAG-EGFP:+/+</v>
      </c>
      <c r="Q553" s="8" t="s">
        <v>47</v>
      </c>
      <c r="R553" s="8" t="s">
        <v>88</v>
      </c>
      <c r="S553" s="8"/>
      <c r="T553" s="8" t="s">
        <v>799</v>
      </c>
    </row>
    <row r="554" customFormat="false" ht="15" hidden="false" customHeight="false" outlineLevel="0" collapsed="false">
      <c r="A554" s="7" t="s">
        <v>854</v>
      </c>
      <c r="B554" s="8" t="s">
        <v>119</v>
      </c>
      <c r="C554" s="8" t="n">
        <v>45</v>
      </c>
      <c r="D554" s="8" t="s">
        <v>33</v>
      </c>
      <c r="E554" s="9" t="n">
        <v>45769</v>
      </c>
      <c r="F554" s="8" t="n">
        <f aca="true">IF(E554="","",ROUND((TODAY()-E554)/7,1))</f>
        <v>59.7</v>
      </c>
      <c r="G554" s="8" t="s">
        <v>38</v>
      </c>
      <c r="H554" s="8"/>
      <c r="I554" s="8" t="s">
        <v>848</v>
      </c>
      <c r="J554" s="8" t="s">
        <v>853</v>
      </c>
      <c r="K554" s="8" t="n">
        <v>2</v>
      </c>
      <c r="L554" s="10"/>
      <c r="M554" s="10"/>
      <c r="N554" s="10" t="s">
        <v>35</v>
      </c>
      <c r="O554" s="10" t="s">
        <v>48</v>
      </c>
      <c r="P554" s="8" t="str">
        <f aca="false">MID(IF(L554="","","; APP:"&amp;L554)&amp;IF(M554="","","; PS1:"&amp;M554)&amp;IF(N554="","","; AQP4:"&amp;N554)&amp;IF(O554="","","; CAG-EGFP:"&amp;O554),3,200)</f>
        <v>AQP4:+/+; CAG-EGFP:+/-</v>
      </c>
      <c r="Q554" s="8" t="s">
        <v>47</v>
      </c>
      <c r="R554" s="8" t="s">
        <v>88</v>
      </c>
      <c r="S554" s="8"/>
      <c r="T554" s="8" t="s">
        <v>799</v>
      </c>
    </row>
    <row r="555" customFormat="false" ht="15" hidden="false" customHeight="false" outlineLevel="0" collapsed="false">
      <c r="A555" s="7" t="s">
        <v>855</v>
      </c>
      <c r="B555" s="8" t="s">
        <v>119</v>
      </c>
      <c r="C555" s="8" t="n">
        <v>46</v>
      </c>
      <c r="D555" s="8" t="s">
        <v>33</v>
      </c>
      <c r="E555" s="9" t="n">
        <v>45769</v>
      </c>
      <c r="F555" s="8" t="n">
        <f aca="true">IF(E555="","",ROUND((TODAY()-E555)/7,1))</f>
        <v>59.7</v>
      </c>
      <c r="G555" s="8" t="s">
        <v>38</v>
      </c>
      <c r="H555" s="8"/>
      <c r="I555" s="8" t="s">
        <v>848</v>
      </c>
      <c r="J555" s="8" t="s">
        <v>853</v>
      </c>
      <c r="K555" s="8" t="n">
        <v>2</v>
      </c>
      <c r="L555" s="10"/>
      <c r="M555" s="10"/>
      <c r="N555" s="10" t="s">
        <v>48</v>
      </c>
      <c r="O555" s="10" t="s">
        <v>35</v>
      </c>
      <c r="P555" s="8" t="str">
        <f aca="false">MID(IF(L555="","","; APP:"&amp;L555)&amp;IF(M555="","","; PS1:"&amp;M555)&amp;IF(N555="","","; AQP4:"&amp;N555)&amp;IF(O555="","","; CAG-EGFP:"&amp;O555),3,200)</f>
        <v>AQP4:+/-; CAG-EGFP:+/+</v>
      </c>
      <c r="Q555" s="8" t="s">
        <v>47</v>
      </c>
      <c r="R555" s="8" t="s">
        <v>88</v>
      </c>
      <c r="S555" s="8"/>
      <c r="T555" s="8" t="s">
        <v>799</v>
      </c>
    </row>
    <row r="556" customFormat="false" ht="15" hidden="false" customHeight="false" outlineLevel="0" collapsed="false">
      <c r="A556" s="7" t="s">
        <v>856</v>
      </c>
      <c r="B556" s="8" t="s">
        <v>119</v>
      </c>
      <c r="C556" s="8" t="n">
        <v>47</v>
      </c>
      <c r="D556" s="8" t="s">
        <v>33</v>
      </c>
      <c r="E556" s="9" t="n">
        <v>45769</v>
      </c>
      <c r="F556" s="8" t="n">
        <f aca="true">IF(E556="","",ROUND((TODAY()-E556)/7,1))</f>
        <v>59.7</v>
      </c>
      <c r="G556" s="8" t="s">
        <v>38</v>
      </c>
      <c r="H556" s="8"/>
      <c r="I556" s="8" t="s">
        <v>848</v>
      </c>
      <c r="J556" s="8" t="s">
        <v>853</v>
      </c>
      <c r="K556" s="8" t="n">
        <v>2</v>
      </c>
      <c r="L556" s="10"/>
      <c r="M556" s="10"/>
      <c r="N556" s="10" t="s">
        <v>62</v>
      </c>
      <c r="O556" s="10" t="s">
        <v>48</v>
      </c>
      <c r="P556" s="8" t="str">
        <f aca="false">MID(IF(L556="","","; APP:"&amp;L556)&amp;IF(M556="","","; PS1:"&amp;M556)&amp;IF(N556="","","; AQP4:"&amp;N556)&amp;IF(O556="","","; CAG-EGFP:"&amp;O556),3,200)</f>
        <v>AQP4:-/-; CAG-EGFP:+/-</v>
      </c>
      <c r="Q556" s="8" t="s">
        <v>47</v>
      </c>
      <c r="R556" s="8" t="s">
        <v>88</v>
      </c>
      <c r="S556" s="8"/>
      <c r="T556" s="8" t="s">
        <v>799</v>
      </c>
    </row>
    <row r="557" customFormat="false" ht="15" hidden="false" customHeight="false" outlineLevel="0" collapsed="false">
      <c r="A557" s="7" t="s">
        <v>857</v>
      </c>
      <c r="B557" s="8" t="s">
        <v>119</v>
      </c>
      <c r="C557" s="8" t="n">
        <v>48</v>
      </c>
      <c r="D557" s="8" t="s">
        <v>46</v>
      </c>
      <c r="E557" s="9" t="n">
        <v>45769</v>
      </c>
      <c r="F557" s="8" t="n">
        <f aca="true">IF(E557="","",ROUND((TODAY()-E557)/7,1))</f>
        <v>59.7</v>
      </c>
      <c r="G557" s="8" t="s">
        <v>38</v>
      </c>
      <c r="H557" s="8"/>
      <c r="I557" s="8" t="s">
        <v>848</v>
      </c>
      <c r="J557" s="8" t="s">
        <v>853</v>
      </c>
      <c r="K557" s="8" t="n">
        <v>2</v>
      </c>
      <c r="L557" s="10"/>
      <c r="M557" s="10"/>
      <c r="N557" s="10" t="s">
        <v>35</v>
      </c>
      <c r="O557" s="10" t="s">
        <v>62</v>
      </c>
      <c r="P557" s="8" t="str">
        <f aca="false">MID(IF(L557="","","; APP:"&amp;L557)&amp;IF(M557="","","; PS1:"&amp;M557)&amp;IF(N557="","","; AQP4:"&amp;N557)&amp;IF(O557="","","; CAG-EGFP:"&amp;O557),3,200)</f>
        <v>AQP4:+/+; CAG-EGFP:-/-</v>
      </c>
      <c r="Q557" s="8" t="s">
        <v>47</v>
      </c>
      <c r="R557" s="8" t="s">
        <v>88</v>
      </c>
      <c r="S557" s="8"/>
      <c r="T557" s="8" t="s">
        <v>799</v>
      </c>
    </row>
    <row r="558" customFormat="false" ht="15" hidden="false" customHeight="false" outlineLevel="0" collapsed="false">
      <c r="A558" s="7" t="s">
        <v>858</v>
      </c>
      <c r="B558" s="8" t="s">
        <v>119</v>
      </c>
      <c r="C558" s="8" t="n">
        <v>49</v>
      </c>
      <c r="D558" s="8" t="s">
        <v>46</v>
      </c>
      <c r="E558" s="9" t="n">
        <v>45769</v>
      </c>
      <c r="F558" s="8" t="n">
        <f aca="true">IF(E558="","",ROUND((TODAY()-E558)/7,1))</f>
        <v>59.7</v>
      </c>
      <c r="G558" s="8" t="s">
        <v>38</v>
      </c>
      <c r="H558" s="8"/>
      <c r="I558" s="8" t="s">
        <v>848</v>
      </c>
      <c r="J558" s="8" t="s">
        <v>853</v>
      </c>
      <c r="K558" s="8" t="n">
        <v>2</v>
      </c>
      <c r="L558" s="10"/>
      <c r="M558" s="10"/>
      <c r="N558" s="10" t="s">
        <v>62</v>
      </c>
      <c r="O558" s="10" t="s">
        <v>48</v>
      </c>
      <c r="P558" s="8" t="str">
        <f aca="false">MID(IF(L558="","","; APP:"&amp;L558)&amp;IF(M558="","","; PS1:"&amp;M558)&amp;IF(N558="","","; AQP4:"&amp;N558)&amp;IF(O558="","","; CAG-EGFP:"&amp;O558),3,200)</f>
        <v>AQP4:-/-; CAG-EGFP:+/-</v>
      </c>
      <c r="Q558" s="8" t="s">
        <v>47</v>
      </c>
      <c r="R558" s="8" t="s">
        <v>88</v>
      </c>
      <c r="S558" s="8"/>
      <c r="T558" s="8" t="s">
        <v>799</v>
      </c>
    </row>
    <row r="559" customFormat="false" ht="15" hidden="false" customHeight="false" outlineLevel="0" collapsed="false">
      <c r="A559" s="7" t="s">
        <v>859</v>
      </c>
      <c r="B559" s="8" t="s">
        <v>119</v>
      </c>
      <c r="C559" s="8" t="n">
        <v>50</v>
      </c>
      <c r="D559" s="8" t="s">
        <v>46</v>
      </c>
      <c r="E559" s="9" t="n">
        <v>45769</v>
      </c>
      <c r="F559" s="8" t="n">
        <f aca="true">IF(E559="","",ROUND((TODAY()-E559)/7,1))</f>
        <v>59.7</v>
      </c>
      <c r="G559" s="8" t="s">
        <v>38</v>
      </c>
      <c r="H559" s="8"/>
      <c r="I559" s="8" t="s">
        <v>848</v>
      </c>
      <c r="J559" s="8" t="s">
        <v>853</v>
      </c>
      <c r="K559" s="8" t="n">
        <v>2</v>
      </c>
      <c r="L559" s="10"/>
      <c r="M559" s="10"/>
      <c r="N559" s="10" t="s">
        <v>62</v>
      </c>
      <c r="O559" s="10" t="s">
        <v>48</v>
      </c>
      <c r="P559" s="8" t="str">
        <f aca="false">MID(IF(L559="","","; APP:"&amp;L559)&amp;IF(M559="","","; PS1:"&amp;M559)&amp;IF(N559="","","; AQP4:"&amp;N559)&amp;IF(O559="","","; CAG-EGFP:"&amp;O559),3,200)</f>
        <v>AQP4:-/-; CAG-EGFP:+/-</v>
      </c>
      <c r="Q559" s="8" t="s">
        <v>47</v>
      </c>
      <c r="R559" s="8" t="s">
        <v>88</v>
      </c>
      <c r="S559" s="8"/>
      <c r="T559" s="8" t="s">
        <v>799</v>
      </c>
    </row>
    <row r="560" customFormat="false" ht="15" hidden="false" customHeight="false" outlineLevel="0" collapsed="false">
      <c r="A560" s="7" t="s">
        <v>860</v>
      </c>
      <c r="B560" s="8" t="s">
        <v>119</v>
      </c>
      <c r="C560" s="8" t="n">
        <v>51</v>
      </c>
      <c r="D560" s="8" t="s">
        <v>46</v>
      </c>
      <c r="E560" s="9" t="n">
        <v>45769</v>
      </c>
      <c r="F560" s="8" t="n">
        <f aca="true">IF(E560="","",ROUND((TODAY()-E560)/7,1))</f>
        <v>59.7</v>
      </c>
      <c r="G560" s="8" t="s">
        <v>38</v>
      </c>
      <c r="H560" s="8"/>
      <c r="I560" s="8" t="s">
        <v>848</v>
      </c>
      <c r="J560" s="8" t="s">
        <v>853</v>
      </c>
      <c r="K560" s="8" t="n">
        <v>2</v>
      </c>
      <c r="L560" s="10"/>
      <c r="M560" s="10"/>
      <c r="N560" s="10" t="s">
        <v>62</v>
      </c>
      <c r="O560" s="10" t="s">
        <v>35</v>
      </c>
      <c r="P560" s="8" t="str">
        <f aca="false">MID(IF(L560="","","; APP:"&amp;L560)&amp;IF(M560="","","; PS1:"&amp;M560)&amp;IF(N560="","","; AQP4:"&amp;N560)&amp;IF(O560="","","; CAG-EGFP:"&amp;O560),3,200)</f>
        <v>AQP4:-/-; CAG-EGFP:+/+</v>
      </c>
      <c r="Q560" s="8" t="s">
        <v>47</v>
      </c>
      <c r="R560" s="8" t="s">
        <v>88</v>
      </c>
      <c r="S560" s="8"/>
      <c r="T560" s="8" t="s">
        <v>799</v>
      </c>
    </row>
    <row r="561" customFormat="false" ht="15" hidden="false" customHeight="false" outlineLevel="0" collapsed="false">
      <c r="A561" s="7" t="s">
        <v>861</v>
      </c>
      <c r="B561" s="8" t="s">
        <v>119</v>
      </c>
      <c r="C561" s="8" t="n">
        <v>52</v>
      </c>
      <c r="D561" s="8" t="s">
        <v>33</v>
      </c>
      <c r="E561" s="9" t="n">
        <v>45769</v>
      </c>
      <c r="F561" s="8" t="n">
        <f aca="true">IF(E561="","",ROUND((TODAY()-E561)/7,1))</f>
        <v>59.7</v>
      </c>
      <c r="G561" s="8" t="s">
        <v>38</v>
      </c>
      <c r="H561" s="8"/>
      <c r="I561" s="8" t="s">
        <v>848</v>
      </c>
      <c r="J561" s="8" t="s">
        <v>862</v>
      </c>
      <c r="K561" s="8" t="n">
        <v>2</v>
      </c>
      <c r="L561" s="10"/>
      <c r="M561" s="10"/>
      <c r="N561" s="10" t="s">
        <v>48</v>
      </c>
      <c r="O561" s="10" t="s">
        <v>48</v>
      </c>
      <c r="P561" s="8" t="str">
        <f aca="false">MID(IF(L561="","","; APP:"&amp;L561)&amp;IF(M561="","","; PS1:"&amp;M561)&amp;IF(N561="","","; AQP4:"&amp;N561)&amp;IF(O561="","","; CAG-EGFP:"&amp;O561),3,200)</f>
        <v>AQP4:+/-; CAG-EGFP:+/-</v>
      </c>
      <c r="Q561" s="8" t="s">
        <v>47</v>
      </c>
      <c r="R561" s="8" t="s">
        <v>88</v>
      </c>
      <c r="S561" s="8"/>
      <c r="T561" s="8" t="s">
        <v>799</v>
      </c>
    </row>
    <row r="562" customFormat="false" ht="15" hidden="false" customHeight="false" outlineLevel="0" collapsed="false">
      <c r="A562" s="7" t="s">
        <v>863</v>
      </c>
      <c r="B562" s="8" t="s">
        <v>119</v>
      </c>
      <c r="C562" s="8" t="n">
        <v>53</v>
      </c>
      <c r="D562" s="8" t="s">
        <v>33</v>
      </c>
      <c r="E562" s="9" t="n">
        <v>45769</v>
      </c>
      <c r="F562" s="8" t="n">
        <f aca="true">IF(E562="","",ROUND((TODAY()-E562)/7,1))</f>
        <v>59.7</v>
      </c>
      <c r="G562" s="8" t="s">
        <v>38</v>
      </c>
      <c r="H562" s="8"/>
      <c r="I562" s="8" t="s">
        <v>848</v>
      </c>
      <c r="J562" s="8" t="s">
        <v>862</v>
      </c>
      <c r="K562" s="8" t="n">
        <v>2</v>
      </c>
      <c r="L562" s="10"/>
      <c r="M562" s="10"/>
      <c r="N562" s="10" t="s">
        <v>48</v>
      </c>
      <c r="O562" s="10" t="s">
        <v>35</v>
      </c>
      <c r="P562" s="8" t="str">
        <f aca="false">MID(IF(L562="","","; APP:"&amp;L562)&amp;IF(M562="","","; PS1:"&amp;M562)&amp;IF(N562="","","; AQP4:"&amp;N562)&amp;IF(O562="","","; CAG-EGFP:"&amp;O562),3,200)</f>
        <v>AQP4:+/-; CAG-EGFP:+/+</v>
      </c>
      <c r="Q562" s="8" t="s">
        <v>47</v>
      </c>
      <c r="R562" s="8" t="s">
        <v>88</v>
      </c>
      <c r="S562" s="8"/>
      <c r="T562" s="8" t="s">
        <v>799</v>
      </c>
    </row>
    <row r="563" customFormat="false" ht="15" hidden="false" customHeight="false" outlineLevel="0" collapsed="false">
      <c r="A563" s="7" t="s">
        <v>864</v>
      </c>
      <c r="B563" s="8" t="s">
        <v>119</v>
      </c>
      <c r="C563" s="8" t="n">
        <v>54</v>
      </c>
      <c r="D563" s="8" t="s">
        <v>33</v>
      </c>
      <c r="E563" s="9" t="n">
        <v>45769</v>
      </c>
      <c r="F563" s="8" t="n">
        <f aca="true">IF(E563="","",ROUND((TODAY()-E563)/7,1))</f>
        <v>59.7</v>
      </c>
      <c r="G563" s="8" t="s">
        <v>38</v>
      </c>
      <c r="H563" s="8"/>
      <c r="I563" s="8" t="s">
        <v>848</v>
      </c>
      <c r="J563" s="8" t="s">
        <v>862</v>
      </c>
      <c r="K563" s="8" t="n">
        <v>2</v>
      </c>
      <c r="L563" s="10"/>
      <c r="M563" s="10"/>
      <c r="N563" s="10" t="s">
        <v>48</v>
      </c>
      <c r="O563" s="10" t="s">
        <v>48</v>
      </c>
      <c r="P563" s="8" t="str">
        <f aca="false">MID(IF(L563="","","; APP:"&amp;L563)&amp;IF(M563="","","; PS1:"&amp;M563)&amp;IF(N563="","","; AQP4:"&amp;N563)&amp;IF(O563="","","; CAG-EGFP:"&amp;O563),3,200)</f>
        <v>AQP4:+/-; CAG-EGFP:+/-</v>
      </c>
      <c r="Q563" s="8" t="s">
        <v>47</v>
      </c>
      <c r="R563" s="8" t="s">
        <v>88</v>
      </c>
      <c r="S563" s="8"/>
      <c r="T563" s="8" t="s">
        <v>799</v>
      </c>
    </row>
    <row r="564" customFormat="false" ht="15" hidden="false" customHeight="false" outlineLevel="0" collapsed="false">
      <c r="A564" s="7" t="s">
        <v>865</v>
      </c>
      <c r="B564" s="8" t="s">
        <v>119</v>
      </c>
      <c r="C564" s="8" t="n">
        <v>55</v>
      </c>
      <c r="D564" s="8" t="s">
        <v>33</v>
      </c>
      <c r="E564" s="9" t="n">
        <v>45769</v>
      </c>
      <c r="F564" s="8" t="n">
        <f aca="true">IF(E564="","",ROUND((TODAY()-E564)/7,1))</f>
        <v>59.7</v>
      </c>
      <c r="G564" s="8" t="s">
        <v>38</v>
      </c>
      <c r="H564" s="8"/>
      <c r="I564" s="8" t="s">
        <v>848</v>
      </c>
      <c r="J564" s="8" t="s">
        <v>862</v>
      </c>
      <c r="K564" s="8" t="n">
        <v>2</v>
      </c>
      <c r="L564" s="10"/>
      <c r="M564" s="10"/>
      <c r="N564" s="10" t="s">
        <v>62</v>
      </c>
      <c r="O564" s="10" t="s">
        <v>48</v>
      </c>
      <c r="P564" s="8" t="str">
        <f aca="false">MID(IF(L564="","","; APP:"&amp;L564)&amp;IF(M564="","","; PS1:"&amp;M564)&amp;IF(N564="","","; AQP4:"&amp;N564)&amp;IF(O564="","","; CAG-EGFP:"&amp;O564),3,200)</f>
        <v>AQP4:-/-; CAG-EGFP:+/-</v>
      </c>
      <c r="Q564" s="8" t="s">
        <v>47</v>
      </c>
      <c r="R564" s="8" t="s">
        <v>88</v>
      </c>
      <c r="S564" s="8"/>
      <c r="T564" s="8" t="s">
        <v>799</v>
      </c>
    </row>
    <row r="565" customFormat="false" ht="15" hidden="false" customHeight="false" outlineLevel="0" collapsed="false">
      <c r="A565" s="7" t="s">
        <v>866</v>
      </c>
      <c r="B565" s="8" t="s">
        <v>119</v>
      </c>
      <c r="C565" s="8" t="n">
        <v>56</v>
      </c>
      <c r="D565" s="8" t="s">
        <v>46</v>
      </c>
      <c r="E565" s="9" t="n">
        <v>45769</v>
      </c>
      <c r="F565" s="8" t="n">
        <f aca="true">IF(E565="","",ROUND((TODAY()-E565)/7,1))</f>
        <v>59.7</v>
      </c>
      <c r="G565" s="8" t="s">
        <v>38</v>
      </c>
      <c r="H565" s="8"/>
      <c r="I565" s="8" t="s">
        <v>848</v>
      </c>
      <c r="J565" s="8" t="s">
        <v>862</v>
      </c>
      <c r="K565" s="8" t="n">
        <v>2</v>
      </c>
      <c r="L565" s="10"/>
      <c r="M565" s="10"/>
      <c r="N565" s="10" t="s">
        <v>48</v>
      </c>
      <c r="O565" s="10" t="s">
        <v>62</v>
      </c>
      <c r="P565" s="8" t="str">
        <f aca="false">MID(IF(L565="","","; APP:"&amp;L565)&amp;IF(M565="","","; PS1:"&amp;M565)&amp;IF(N565="","","; AQP4:"&amp;N565)&amp;IF(O565="","","; CAG-EGFP:"&amp;O565),3,200)</f>
        <v>AQP4:+/-; CAG-EGFP:-/-</v>
      </c>
      <c r="Q565" s="8" t="s">
        <v>47</v>
      </c>
      <c r="R565" s="8" t="s">
        <v>88</v>
      </c>
      <c r="S565" s="8"/>
      <c r="T565" s="8" t="s">
        <v>799</v>
      </c>
    </row>
    <row r="566" customFormat="false" ht="15" hidden="false" customHeight="false" outlineLevel="0" collapsed="false">
      <c r="A566" s="7" t="s">
        <v>867</v>
      </c>
      <c r="B566" s="8" t="s">
        <v>119</v>
      </c>
      <c r="C566" s="8" t="n">
        <v>57</v>
      </c>
      <c r="D566" s="8" t="s">
        <v>46</v>
      </c>
      <c r="E566" s="9" t="n">
        <v>45769</v>
      </c>
      <c r="F566" s="8" t="n">
        <f aca="true">IF(E566="","",ROUND((TODAY()-E566)/7,1))</f>
        <v>59.7</v>
      </c>
      <c r="G566" s="8" t="s">
        <v>38</v>
      </c>
      <c r="H566" s="8"/>
      <c r="I566" s="8" t="s">
        <v>848</v>
      </c>
      <c r="J566" s="8" t="s">
        <v>862</v>
      </c>
      <c r="K566" s="8" t="n">
        <v>2</v>
      </c>
      <c r="L566" s="10"/>
      <c r="M566" s="10"/>
      <c r="N566" s="10" t="s">
        <v>35</v>
      </c>
      <c r="O566" s="10" t="s">
        <v>48</v>
      </c>
      <c r="P566" s="8" t="str">
        <f aca="false">MID(IF(L566="","","; APP:"&amp;L566)&amp;IF(M566="","","; PS1:"&amp;M566)&amp;IF(N566="","","; AQP4:"&amp;N566)&amp;IF(O566="","","; CAG-EGFP:"&amp;O566),3,200)</f>
        <v>AQP4:+/+; CAG-EGFP:+/-</v>
      </c>
      <c r="Q566" s="8" t="s">
        <v>47</v>
      </c>
      <c r="R566" s="8" t="s">
        <v>88</v>
      </c>
      <c r="S566" s="8"/>
      <c r="T566" s="8" t="s">
        <v>799</v>
      </c>
    </row>
    <row r="567" customFormat="false" ht="15" hidden="false" customHeight="false" outlineLevel="0" collapsed="false">
      <c r="A567" s="7" t="s">
        <v>868</v>
      </c>
      <c r="B567" s="8" t="s">
        <v>119</v>
      </c>
      <c r="C567" s="8" t="n">
        <v>58</v>
      </c>
      <c r="D567" s="8" t="s">
        <v>46</v>
      </c>
      <c r="E567" s="9" t="n">
        <v>45769</v>
      </c>
      <c r="F567" s="8" t="n">
        <f aca="true">IF(E567="","",ROUND((TODAY()-E567)/7,1))</f>
        <v>59.7</v>
      </c>
      <c r="G567" s="8" t="s">
        <v>38</v>
      </c>
      <c r="H567" s="8"/>
      <c r="I567" s="8" t="s">
        <v>848</v>
      </c>
      <c r="J567" s="8" t="s">
        <v>862</v>
      </c>
      <c r="K567" s="8" t="n">
        <v>2</v>
      </c>
      <c r="L567" s="10"/>
      <c r="M567" s="10"/>
      <c r="N567" s="10" t="s">
        <v>48</v>
      </c>
      <c r="O567" s="10" t="s">
        <v>35</v>
      </c>
      <c r="P567" s="8" t="str">
        <f aca="false">MID(IF(L567="","","; APP:"&amp;L567)&amp;IF(M567="","","; PS1:"&amp;M567)&amp;IF(N567="","","; AQP4:"&amp;N567)&amp;IF(O567="","","; CAG-EGFP:"&amp;O567),3,200)</f>
        <v>AQP4:+/-; CAG-EGFP:+/+</v>
      </c>
      <c r="Q567" s="8" t="s">
        <v>47</v>
      </c>
      <c r="R567" s="8" t="s">
        <v>88</v>
      </c>
      <c r="S567" s="8"/>
      <c r="T567" s="8" t="s">
        <v>799</v>
      </c>
    </row>
    <row r="568" customFormat="false" ht="15" hidden="false" customHeight="false" outlineLevel="0" collapsed="false">
      <c r="A568" s="7" t="s">
        <v>869</v>
      </c>
      <c r="B568" s="8" t="s">
        <v>119</v>
      </c>
      <c r="C568" s="8" t="n">
        <v>59</v>
      </c>
      <c r="D568" s="8" t="s">
        <v>33</v>
      </c>
      <c r="E568" s="9" t="n">
        <v>45770</v>
      </c>
      <c r="F568" s="8" t="n">
        <f aca="true">IF(E568="","",ROUND((TODAY()-E568)/7,1))</f>
        <v>59.6</v>
      </c>
      <c r="G568" s="8" t="s">
        <v>38</v>
      </c>
      <c r="H568" s="8"/>
      <c r="I568" s="8" t="s">
        <v>824</v>
      </c>
      <c r="J568" s="8" t="s">
        <v>870</v>
      </c>
      <c r="K568" s="8" t="n">
        <v>2</v>
      </c>
      <c r="L568" s="10"/>
      <c r="M568" s="10"/>
      <c r="N568" s="10" t="s">
        <v>48</v>
      </c>
      <c r="O568" s="10" t="s">
        <v>48</v>
      </c>
      <c r="P568" s="8" t="str">
        <f aca="false">MID(IF(L568="","","; APP:"&amp;L568)&amp;IF(M568="","","; PS1:"&amp;M568)&amp;IF(N568="","","; AQP4:"&amp;N568)&amp;IF(O568="","","; CAG-EGFP:"&amp;O568),3,200)</f>
        <v>AQP4:+/-; CAG-EGFP:+/-</v>
      </c>
      <c r="Q568" s="8" t="s">
        <v>47</v>
      </c>
      <c r="R568" s="8" t="s">
        <v>88</v>
      </c>
      <c r="S568" s="8"/>
      <c r="T568" s="8" t="s">
        <v>799</v>
      </c>
    </row>
    <row r="569" customFormat="false" ht="15" hidden="false" customHeight="false" outlineLevel="0" collapsed="false">
      <c r="A569" s="7" t="s">
        <v>871</v>
      </c>
      <c r="B569" s="8" t="s">
        <v>119</v>
      </c>
      <c r="C569" s="8" t="n">
        <v>60</v>
      </c>
      <c r="D569" s="8" t="s">
        <v>33</v>
      </c>
      <c r="E569" s="9" t="n">
        <v>45770</v>
      </c>
      <c r="F569" s="8" t="n">
        <f aca="true">IF(E569="","",ROUND((TODAY()-E569)/7,1))</f>
        <v>59.6</v>
      </c>
      <c r="G569" s="8" t="s">
        <v>38</v>
      </c>
      <c r="H569" s="8"/>
      <c r="I569" s="8" t="s">
        <v>824</v>
      </c>
      <c r="J569" s="8" t="s">
        <v>870</v>
      </c>
      <c r="K569" s="8" t="n">
        <v>2</v>
      </c>
      <c r="L569" s="10"/>
      <c r="M569" s="10"/>
      <c r="N569" s="10" t="s">
        <v>35</v>
      </c>
      <c r="O569" s="10" t="s">
        <v>35</v>
      </c>
      <c r="P569" s="8" t="str">
        <f aca="false">MID(IF(L569="","","; APP:"&amp;L569)&amp;IF(M569="","","; PS1:"&amp;M569)&amp;IF(N569="","","; AQP4:"&amp;N569)&amp;IF(O569="","","; CAG-EGFP:"&amp;O569),3,200)</f>
        <v>AQP4:+/+; CAG-EGFP:+/+</v>
      </c>
      <c r="Q569" s="8" t="s">
        <v>47</v>
      </c>
      <c r="R569" s="8" t="s">
        <v>88</v>
      </c>
      <c r="S569" s="8"/>
      <c r="T569" s="8" t="s">
        <v>799</v>
      </c>
    </row>
    <row r="570" customFormat="false" ht="15" hidden="false" customHeight="false" outlineLevel="0" collapsed="false">
      <c r="A570" s="7" t="s">
        <v>872</v>
      </c>
      <c r="B570" s="8" t="s">
        <v>119</v>
      </c>
      <c r="C570" s="8" t="n">
        <v>61</v>
      </c>
      <c r="D570" s="8" t="s">
        <v>33</v>
      </c>
      <c r="E570" s="9" t="n">
        <v>45770</v>
      </c>
      <c r="F570" s="8" t="n">
        <f aca="true">IF(E570="","",ROUND((TODAY()-E570)/7,1))</f>
        <v>59.6</v>
      </c>
      <c r="G570" s="8" t="s">
        <v>38</v>
      </c>
      <c r="H570" s="8"/>
      <c r="I570" s="8" t="s">
        <v>824</v>
      </c>
      <c r="J570" s="8" t="s">
        <v>870</v>
      </c>
      <c r="K570" s="8" t="n">
        <v>2</v>
      </c>
      <c r="L570" s="10"/>
      <c r="M570" s="10"/>
      <c r="N570" s="10" t="s">
        <v>48</v>
      </c>
      <c r="O570" s="10" t="s">
        <v>62</v>
      </c>
      <c r="P570" s="8" t="str">
        <f aca="false">MID(IF(L570="","","; APP:"&amp;L570)&amp;IF(M570="","","; PS1:"&amp;M570)&amp;IF(N570="","","; AQP4:"&amp;N570)&amp;IF(O570="","","; CAG-EGFP:"&amp;O570),3,200)</f>
        <v>AQP4:+/-; CAG-EGFP:-/-</v>
      </c>
      <c r="Q570" s="8" t="s">
        <v>47</v>
      </c>
      <c r="R570" s="8" t="s">
        <v>88</v>
      </c>
      <c r="S570" s="8"/>
      <c r="T570" s="8" t="s">
        <v>799</v>
      </c>
    </row>
    <row r="571" customFormat="false" ht="15" hidden="false" customHeight="false" outlineLevel="0" collapsed="false">
      <c r="A571" s="7" t="s">
        <v>873</v>
      </c>
      <c r="B571" s="8" t="s">
        <v>119</v>
      </c>
      <c r="C571" s="8" t="n">
        <v>62</v>
      </c>
      <c r="D571" s="8" t="s">
        <v>33</v>
      </c>
      <c r="E571" s="9" t="n">
        <v>45770</v>
      </c>
      <c r="F571" s="8" t="n">
        <f aca="true">IF(E571="","",ROUND((TODAY()-E571)/7,1))</f>
        <v>59.6</v>
      </c>
      <c r="G571" s="8" t="s">
        <v>38</v>
      </c>
      <c r="H571" s="8"/>
      <c r="I571" s="8" t="s">
        <v>824</v>
      </c>
      <c r="J571" s="8" t="s">
        <v>870</v>
      </c>
      <c r="K571" s="8" t="n">
        <v>2</v>
      </c>
      <c r="L571" s="10"/>
      <c r="M571" s="10"/>
      <c r="N571" s="10" t="s">
        <v>48</v>
      </c>
      <c r="O571" s="10" t="s">
        <v>48</v>
      </c>
      <c r="P571" s="8" t="str">
        <f aca="false">MID(IF(L571="","","; APP:"&amp;L571)&amp;IF(M571="","","; PS1:"&amp;M571)&amp;IF(N571="","","; AQP4:"&amp;N571)&amp;IF(O571="","","; CAG-EGFP:"&amp;O571),3,200)</f>
        <v>AQP4:+/-; CAG-EGFP:+/-</v>
      </c>
      <c r="Q571" s="8" t="s">
        <v>47</v>
      </c>
      <c r="R571" s="8" t="s">
        <v>88</v>
      </c>
      <c r="S571" s="8"/>
      <c r="T571" s="8" t="s">
        <v>799</v>
      </c>
    </row>
    <row r="572" customFormat="false" ht="15" hidden="false" customHeight="false" outlineLevel="0" collapsed="false">
      <c r="A572" s="7" t="s">
        <v>874</v>
      </c>
      <c r="B572" s="8" t="s">
        <v>119</v>
      </c>
      <c r="C572" s="8" t="n">
        <v>63</v>
      </c>
      <c r="D572" s="8" t="s">
        <v>33</v>
      </c>
      <c r="E572" s="9" t="n">
        <v>45770</v>
      </c>
      <c r="F572" s="8" t="n">
        <f aca="true">IF(E572="","",ROUND((TODAY()-E572)/7,1))</f>
        <v>59.6</v>
      </c>
      <c r="G572" s="8" t="s">
        <v>38</v>
      </c>
      <c r="H572" s="8"/>
      <c r="I572" s="8" t="s">
        <v>824</v>
      </c>
      <c r="J572" s="8" t="s">
        <v>870</v>
      </c>
      <c r="K572" s="8" t="n">
        <v>2</v>
      </c>
      <c r="L572" s="10"/>
      <c r="M572" s="10"/>
      <c r="N572" s="10" t="s">
        <v>62</v>
      </c>
      <c r="O572" s="10" t="s">
        <v>35</v>
      </c>
      <c r="P572" s="8" t="str">
        <f aca="false">MID(IF(L572="","","; APP:"&amp;L572)&amp;IF(M572="","","; PS1:"&amp;M572)&amp;IF(N572="","","; AQP4:"&amp;N572)&amp;IF(O572="","","; CAG-EGFP:"&amp;O572),3,200)</f>
        <v>AQP4:-/-; CAG-EGFP:+/+</v>
      </c>
      <c r="Q572" s="8" t="s">
        <v>47</v>
      </c>
      <c r="R572" s="8" t="s">
        <v>88</v>
      </c>
      <c r="S572" s="8"/>
      <c r="T572" s="8" t="s">
        <v>799</v>
      </c>
    </row>
    <row r="573" customFormat="false" ht="15" hidden="false" customHeight="false" outlineLevel="0" collapsed="false">
      <c r="A573" s="7" t="s">
        <v>875</v>
      </c>
      <c r="B573" s="8" t="s">
        <v>119</v>
      </c>
      <c r="C573" s="8" t="n">
        <v>64</v>
      </c>
      <c r="D573" s="8" t="s">
        <v>46</v>
      </c>
      <c r="E573" s="9" t="n">
        <v>45770</v>
      </c>
      <c r="F573" s="8" t="n">
        <f aca="true">IF(E573="","",ROUND((TODAY()-E573)/7,1))</f>
        <v>59.6</v>
      </c>
      <c r="G573" s="8" t="s">
        <v>38</v>
      </c>
      <c r="H573" s="8"/>
      <c r="I573" s="8" t="s">
        <v>824</v>
      </c>
      <c r="J573" s="8" t="s">
        <v>870</v>
      </c>
      <c r="K573" s="8" t="n">
        <v>2</v>
      </c>
      <c r="L573" s="10"/>
      <c r="M573" s="10"/>
      <c r="N573" s="10" t="s">
        <v>48</v>
      </c>
      <c r="O573" s="10" t="s">
        <v>48</v>
      </c>
      <c r="P573" s="8" t="str">
        <f aca="false">MID(IF(L573="","","; APP:"&amp;L573)&amp;IF(M573="","","; PS1:"&amp;M573)&amp;IF(N573="","","; AQP4:"&amp;N573)&amp;IF(O573="","","; CAG-EGFP:"&amp;O573),3,200)</f>
        <v>AQP4:+/-; CAG-EGFP:+/-</v>
      </c>
      <c r="Q573" s="8" t="s">
        <v>47</v>
      </c>
      <c r="R573" s="8" t="s">
        <v>88</v>
      </c>
      <c r="S573" s="8"/>
      <c r="T573" s="8" t="s">
        <v>799</v>
      </c>
    </row>
    <row r="574" customFormat="false" ht="15" hidden="false" customHeight="false" outlineLevel="0" collapsed="false">
      <c r="A574" s="7" t="s">
        <v>876</v>
      </c>
      <c r="B574" s="8" t="s">
        <v>119</v>
      </c>
      <c r="C574" s="8" t="n">
        <v>65</v>
      </c>
      <c r="D574" s="8" t="s">
        <v>46</v>
      </c>
      <c r="E574" s="9" t="n">
        <v>45770</v>
      </c>
      <c r="F574" s="8" t="n">
        <f aca="true">IF(E574="","",ROUND((TODAY()-E574)/7,1))</f>
        <v>59.6</v>
      </c>
      <c r="G574" s="8" t="s">
        <v>38</v>
      </c>
      <c r="H574" s="8"/>
      <c r="I574" s="8" t="s">
        <v>824</v>
      </c>
      <c r="J574" s="8" t="s">
        <v>870</v>
      </c>
      <c r="K574" s="8" t="n">
        <v>2</v>
      </c>
      <c r="L574" s="10"/>
      <c r="M574" s="10"/>
      <c r="N574" s="10" t="s">
        <v>62</v>
      </c>
      <c r="O574" s="10" t="s">
        <v>62</v>
      </c>
      <c r="P574" s="8" t="str">
        <f aca="false">MID(IF(L574="","","; APP:"&amp;L574)&amp;IF(M574="","","; PS1:"&amp;M574)&amp;IF(N574="","","; AQP4:"&amp;N574)&amp;IF(O574="","","; CAG-EGFP:"&amp;O574),3,200)</f>
        <v>AQP4:-/-; CAG-EGFP:-/-</v>
      </c>
      <c r="Q574" s="8" t="s">
        <v>47</v>
      </c>
      <c r="R574" s="8" t="s">
        <v>88</v>
      </c>
      <c r="S574" s="8"/>
      <c r="T574" s="8" t="s">
        <v>799</v>
      </c>
    </row>
    <row r="575" customFormat="false" ht="15" hidden="false" customHeight="false" outlineLevel="0" collapsed="false">
      <c r="A575" s="7" t="s">
        <v>877</v>
      </c>
      <c r="B575" s="8" t="s">
        <v>119</v>
      </c>
      <c r="C575" s="8" t="n">
        <v>66</v>
      </c>
      <c r="D575" s="8" t="s">
        <v>46</v>
      </c>
      <c r="E575" s="9" t="n">
        <v>45770</v>
      </c>
      <c r="F575" s="8" t="n">
        <f aca="true">IF(E575="","",ROUND((TODAY()-E575)/7,1))</f>
        <v>59.6</v>
      </c>
      <c r="G575" s="8" t="s">
        <v>38</v>
      </c>
      <c r="H575" s="8"/>
      <c r="I575" s="8" t="s">
        <v>824</v>
      </c>
      <c r="J575" s="8" t="s">
        <v>870</v>
      </c>
      <c r="K575" s="8" t="n">
        <v>2</v>
      </c>
      <c r="L575" s="10"/>
      <c r="M575" s="10"/>
      <c r="N575" s="10" t="s">
        <v>48</v>
      </c>
      <c r="O575" s="10" t="s">
        <v>48</v>
      </c>
      <c r="P575" s="8" t="str">
        <f aca="false">MID(IF(L575="","","; APP:"&amp;L575)&amp;IF(M575="","","; PS1:"&amp;M575)&amp;IF(N575="","","; AQP4:"&amp;N575)&amp;IF(O575="","","; CAG-EGFP:"&amp;O575),3,200)</f>
        <v>AQP4:+/-; CAG-EGFP:+/-</v>
      </c>
      <c r="Q575" s="8" t="s">
        <v>47</v>
      </c>
      <c r="R575" s="8" t="s">
        <v>88</v>
      </c>
      <c r="S575" s="8"/>
      <c r="T575" s="8" t="s">
        <v>799</v>
      </c>
    </row>
    <row r="576" customFormat="false" ht="15" hidden="false" customHeight="false" outlineLevel="0" collapsed="false">
      <c r="A576" s="7" t="s">
        <v>878</v>
      </c>
      <c r="B576" s="8" t="s">
        <v>119</v>
      </c>
      <c r="C576" s="8" t="n">
        <v>67</v>
      </c>
      <c r="D576" s="8" t="s">
        <v>33</v>
      </c>
      <c r="E576" s="9" t="n">
        <v>45771</v>
      </c>
      <c r="F576" s="8" t="n">
        <f aca="true">IF(E576="","",ROUND((TODAY()-E576)/7,1))</f>
        <v>59.4</v>
      </c>
      <c r="G576" s="8" t="s">
        <v>38</v>
      </c>
      <c r="H576" s="8"/>
      <c r="I576" s="8" t="s">
        <v>879</v>
      </c>
      <c r="J576" s="8" t="s">
        <v>880</v>
      </c>
      <c r="K576" s="8" t="n">
        <v>3</v>
      </c>
      <c r="L576" s="10"/>
      <c r="M576" s="10"/>
      <c r="N576" s="10" t="s">
        <v>62</v>
      </c>
      <c r="O576" s="10" t="s">
        <v>35</v>
      </c>
      <c r="P576" s="8" t="str">
        <f aca="false">MID(IF(L576="","","; APP:"&amp;L576)&amp;IF(M576="","","; PS1:"&amp;M576)&amp;IF(N576="","","; AQP4:"&amp;N576)&amp;IF(O576="","","; CAG-EGFP:"&amp;O576),3,200)</f>
        <v>AQP4:-/-; CAG-EGFP:+/+</v>
      </c>
      <c r="Q576" s="8" t="s">
        <v>47</v>
      </c>
      <c r="R576" s="8" t="s">
        <v>88</v>
      </c>
      <c r="S576" s="8"/>
      <c r="T576" s="8" t="s">
        <v>799</v>
      </c>
    </row>
    <row r="577" customFormat="false" ht="15" hidden="false" customHeight="false" outlineLevel="0" collapsed="false">
      <c r="A577" s="7" t="s">
        <v>881</v>
      </c>
      <c r="B577" s="8" t="s">
        <v>119</v>
      </c>
      <c r="C577" s="8" t="n">
        <v>68</v>
      </c>
      <c r="D577" s="8" t="s">
        <v>33</v>
      </c>
      <c r="E577" s="9" t="n">
        <v>45771</v>
      </c>
      <c r="F577" s="8" t="n">
        <f aca="true">IF(E577="","",ROUND((TODAY()-E577)/7,1))</f>
        <v>59.4</v>
      </c>
      <c r="G577" s="8" t="s">
        <v>38</v>
      </c>
      <c r="H577" s="8"/>
      <c r="I577" s="8" t="s">
        <v>879</v>
      </c>
      <c r="J577" s="8" t="s">
        <v>880</v>
      </c>
      <c r="K577" s="8" t="n">
        <v>3</v>
      </c>
      <c r="L577" s="10"/>
      <c r="M577" s="10"/>
      <c r="N577" s="10" t="s">
        <v>62</v>
      </c>
      <c r="O577" s="10" t="s">
        <v>35</v>
      </c>
      <c r="P577" s="8" t="str">
        <f aca="false">MID(IF(L577="","","; APP:"&amp;L577)&amp;IF(M577="","","; PS1:"&amp;M577)&amp;IF(N577="","","; AQP4:"&amp;N577)&amp;IF(O577="","","; CAG-EGFP:"&amp;O577),3,200)</f>
        <v>AQP4:-/-; CAG-EGFP:+/+</v>
      </c>
      <c r="Q577" s="8" t="s">
        <v>47</v>
      </c>
      <c r="R577" s="8" t="s">
        <v>88</v>
      </c>
      <c r="S577" s="8"/>
      <c r="T577" s="8" t="s">
        <v>799</v>
      </c>
    </row>
    <row r="578" customFormat="false" ht="15" hidden="false" customHeight="false" outlineLevel="0" collapsed="false">
      <c r="A578" s="7" t="s">
        <v>882</v>
      </c>
      <c r="B578" s="8" t="s">
        <v>119</v>
      </c>
      <c r="C578" s="8" t="n">
        <v>69</v>
      </c>
      <c r="D578" s="8" t="s">
        <v>33</v>
      </c>
      <c r="E578" s="9" t="n">
        <v>45771</v>
      </c>
      <c r="F578" s="8" t="n">
        <f aca="true">IF(E578="","",ROUND((TODAY()-E578)/7,1))</f>
        <v>59.4</v>
      </c>
      <c r="G578" s="8" t="s">
        <v>38</v>
      </c>
      <c r="H578" s="8"/>
      <c r="I578" s="8" t="s">
        <v>879</v>
      </c>
      <c r="J578" s="8" t="s">
        <v>880</v>
      </c>
      <c r="K578" s="8" t="n">
        <v>3</v>
      </c>
      <c r="L578" s="10"/>
      <c r="M578" s="10"/>
      <c r="N578" s="10" t="s">
        <v>62</v>
      </c>
      <c r="O578" s="10" t="s">
        <v>35</v>
      </c>
      <c r="P578" s="8" t="str">
        <f aca="false">MID(IF(L578="","","; APP:"&amp;L578)&amp;IF(M578="","","; PS1:"&amp;M578)&amp;IF(N578="","","; AQP4:"&amp;N578)&amp;IF(O578="","","; CAG-EGFP:"&amp;O578),3,200)</f>
        <v>AQP4:-/-; CAG-EGFP:+/+</v>
      </c>
      <c r="Q578" s="8" t="s">
        <v>47</v>
      </c>
      <c r="R578" s="8" t="s">
        <v>88</v>
      </c>
      <c r="S578" s="8"/>
      <c r="T578" s="8" t="s">
        <v>799</v>
      </c>
    </row>
    <row r="579" customFormat="false" ht="15" hidden="false" customHeight="false" outlineLevel="0" collapsed="false">
      <c r="A579" s="7" t="s">
        <v>883</v>
      </c>
      <c r="B579" s="8" t="s">
        <v>119</v>
      </c>
      <c r="C579" s="8" t="n">
        <v>70</v>
      </c>
      <c r="D579" s="8" t="s">
        <v>46</v>
      </c>
      <c r="E579" s="9" t="n">
        <v>45771</v>
      </c>
      <c r="F579" s="8" t="n">
        <f aca="true">IF(E579="","",ROUND((TODAY()-E579)/7,1))</f>
        <v>59.4</v>
      </c>
      <c r="G579" s="8" t="s">
        <v>38</v>
      </c>
      <c r="H579" s="8"/>
      <c r="I579" s="8" t="s">
        <v>879</v>
      </c>
      <c r="J579" s="8" t="s">
        <v>880</v>
      </c>
      <c r="K579" s="8" t="n">
        <v>3</v>
      </c>
      <c r="L579" s="10"/>
      <c r="M579" s="10"/>
      <c r="N579" s="10" t="s">
        <v>62</v>
      </c>
      <c r="O579" s="10" t="s">
        <v>35</v>
      </c>
      <c r="P579" s="8" t="str">
        <f aca="false">MID(IF(L579="","","; APP:"&amp;L579)&amp;IF(M579="","","; PS1:"&amp;M579)&amp;IF(N579="","","; AQP4:"&amp;N579)&amp;IF(O579="","","; CAG-EGFP:"&amp;O579),3,200)</f>
        <v>AQP4:-/-; CAG-EGFP:+/+</v>
      </c>
      <c r="Q579" s="8" t="s">
        <v>47</v>
      </c>
      <c r="R579" s="8" t="s">
        <v>88</v>
      </c>
      <c r="S579" s="8"/>
      <c r="T579" s="8" t="s">
        <v>799</v>
      </c>
    </row>
    <row r="580" customFormat="false" ht="15" hidden="false" customHeight="false" outlineLevel="0" collapsed="false">
      <c r="A580" s="7" t="s">
        <v>884</v>
      </c>
      <c r="B580" s="8" t="s">
        <v>119</v>
      </c>
      <c r="C580" s="8" t="n">
        <v>71</v>
      </c>
      <c r="D580" s="8" t="s">
        <v>46</v>
      </c>
      <c r="E580" s="9" t="n">
        <v>45771</v>
      </c>
      <c r="F580" s="8" t="n">
        <f aca="true">IF(E580="","",ROUND((TODAY()-E580)/7,1))</f>
        <v>59.4</v>
      </c>
      <c r="G580" s="8" t="s">
        <v>38</v>
      </c>
      <c r="H580" s="8"/>
      <c r="I580" s="8" t="s">
        <v>879</v>
      </c>
      <c r="J580" s="8" t="s">
        <v>880</v>
      </c>
      <c r="K580" s="8" t="n">
        <v>3</v>
      </c>
      <c r="L580" s="10"/>
      <c r="M580" s="10"/>
      <c r="N580" s="10" t="s">
        <v>62</v>
      </c>
      <c r="O580" s="10" t="s">
        <v>35</v>
      </c>
      <c r="P580" s="8" t="str">
        <f aca="false">MID(IF(L580="","","; APP:"&amp;L580)&amp;IF(M580="","","; PS1:"&amp;M580)&amp;IF(N580="","","; AQP4:"&amp;N580)&amp;IF(O580="","","; CAG-EGFP:"&amp;O580),3,200)</f>
        <v>AQP4:-/-; CAG-EGFP:+/+</v>
      </c>
      <c r="Q580" s="8" t="s">
        <v>47</v>
      </c>
      <c r="R580" s="8" t="s">
        <v>88</v>
      </c>
      <c r="S580" s="8"/>
      <c r="T580" s="8" t="s">
        <v>799</v>
      </c>
    </row>
    <row r="581" customFormat="false" ht="15" hidden="false" customHeight="false" outlineLevel="0" collapsed="false">
      <c r="A581" s="7" t="s">
        <v>885</v>
      </c>
      <c r="B581" s="8" t="s">
        <v>119</v>
      </c>
      <c r="C581" s="8" t="n">
        <v>72</v>
      </c>
      <c r="D581" s="8" t="s">
        <v>46</v>
      </c>
      <c r="E581" s="9" t="n">
        <v>45771</v>
      </c>
      <c r="F581" s="8" t="n">
        <f aca="true">IF(E581="","",ROUND((TODAY()-E581)/7,1))</f>
        <v>59.4</v>
      </c>
      <c r="G581" s="8" t="s">
        <v>38</v>
      </c>
      <c r="H581" s="8"/>
      <c r="I581" s="8" t="s">
        <v>879</v>
      </c>
      <c r="J581" s="8" t="s">
        <v>880</v>
      </c>
      <c r="K581" s="8" t="n">
        <v>3</v>
      </c>
      <c r="L581" s="10"/>
      <c r="M581" s="10"/>
      <c r="N581" s="10" t="s">
        <v>62</v>
      </c>
      <c r="O581" s="10" t="s">
        <v>35</v>
      </c>
      <c r="P581" s="8" t="str">
        <f aca="false">MID(IF(L581="","","; APP:"&amp;L581)&amp;IF(M581="","","; PS1:"&amp;M581)&amp;IF(N581="","","; AQP4:"&amp;N581)&amp;IF(O581="","","; CAG-EGFP:"&amp;O581),3,200)</f>
        <v>AQP4:-/-; CAG-EGFP:+/+</v>
      </c>
      <c r="Q581" s="8" t="s">
        <v>47</v>
      </c>
      <c r="R581" s="8" t="s">
        <v>88</v>
      </c>
      <c r="S581" s="8"/>
      <c r="T581" s="8" t="s">
        <v>799</v>
      </c>
    </row>
    <row r="582" customFormat="false" ht="15" hidden="false" customHeight="false" outlineLevel="0" collapsed="false">
      <c r="A582" s="7" t="s">
        <v>886</v>
      </c>
      <c r="B582" s="8" t="s">
        <v>119</v>
      </c>
      <c r="C582" s="8" t="n">
        <v>73</v>
      </c>
      <c r="D582" s="8" t="s">
        <v>46</v>
      </c>
      <c r="E582" s="9" t="n">
        <v>45771</v>
      </c>
      <c r="F582" s="8" t="n">
        <f aca="true">IF(E582="","",ROUND((TODAY()-E582)/7,1))</f>
        <v>59.4</v>
      </c>
      <c r="G582" s="8" t="s">
        <v>38</v>
      </c>
      <c r="H582" s="8"/>
      <c r="I582" s="8" t="s">
        <v>879</v>
      </c>
      <c r="J582" s="8" t="s">
        <v>880</v>
      </c>
      <c r="K582" s="8" t="n">
        <v>3</v>
      </c>
      <c r="L582" s="10"/>
      <c r="M582" s="10"/>
      <c r="N582" s="10" t="s">
        <v>62</v>
      </c>
      <c r="O582" s="10" t="s">
        <v>35</v>
      </c>
      <c r="P582" s="8" t="str">
        <f aca="false">MID(IF(L582="","","; APP:"&amp;L582)&amp;IF(M582="","","; PS1:"&amp;M582)&amp;IF(N582="","","; AQP4:"&amp;N582)&amp;IF(O582="","","; CAG-EGFP:"&amp;O582),3,200)</f>
        <v>AQP4:-/-; CAG-EGFP:+/+</v>
      </c>
      <c r="Q582" s="8" t="s">
        <v>47</v>
      </c>
      <c r="R582" s="8" t="s">
        <v>88</v>
      </c>
      <c r="S582" s="8"/>
      <c r="T582" s="8" t="s">
        <v>799</v>
      </c>
    </row>
    <row r="583" customFormat="false" ht="15" hidden="false" customHeight="false" outlineLevel="0" collapsed="false">
      <c r="A583" s="7" t="s">
        <v>887</v>
      </c>
      <c r="B583" s="8" t="s">
        <v>119</v>
      </c>
      <c r="C583" s="8" t="n">
        <v>74</v>
      </c>
      <c r="D583" s="8" t="s">
        <v>46</v>
      </c>
      <c r="E583" s="9" t="n">
        <v>45771</v>
      </c>
      <c r="F583" s="8" t="n">
        <f aca="true">IF(E583="","",ROUND((TODAY()-E583)/7,1))</f>
        <v>59.4</v>
      </c>
      <c r="G583" s="8" t="s">
        <v>38</v>
      </c>
      <c r="H583" s="8"/>
      <c r="I583" s="8" t="s">
        <v>879</v>
      </c>
      <c r="J583" s="8" t="s">
        <v>880</v>
      </c>
      <c r="K583" s="8" t="n">
        <v>3</v>
      </c>
      <c r="L583" s="10"/>
      <c r="M583" s="10"/>
      <c r="N583" s="10" t="s">
        <v>62</v>
      </c>
      <c r="O583" s="10" t="s">
        <v>35</v>
      </c>
      <c r="P583" s="8" t="str">
        <f aca="false">MID(IF(L583="","","; APP:"&amp;L583)&amp;IF(M583="","","; PS1:"&amp;M583)&amp;IF(N583="","","; AQP4:"&amp;N583)&amp;IF(O583="","","; CAG-EGFP:"&amp;O583),3,200)</f>
        <v>AQP4:-/-; CAG-EGFP:+/+</v>
      </c>
      <c r="Q583" s="8" t="s">
        <v>47</v>
      </c>
      <c r="R583" s="8" t="s">
        <v>88</v>
      </c>
      <c r="S583" s="8"/>
      <c r="T583" s="8" t="s">
        <v>799</v>
      </c>
    </row>
    <row r="584" customFormat="false" ht="15" hidden="false" customHeight="false" outlineLevel="0" collapsed="false">
      <c r="A584" s="7" t="s">
        <v>888</v>
      </c>
      <c r="B584" s="8" t="s">
        <v>119</v>
      </c>
      <c r="C584" s="8" t="n">
        <v>75</v>
      </c>
      <c r="D584" s="8" t="s">
        <v>33</v>
      </c>
      <c r="E584" s="9" t="n">
        <v>45816</v>
      </c>
      <c r="F584" s="8" t="n">
        <f aca="true">IF(E584="","",ROUND((TODAY()-E584)/7,1))</f>
        <v>53</v>
      </c>
      <c r="G584" s="8" t="s">
        <v>38</v>
      </c>
      <c r="H584" s="8"/>
      <c r="I584" s="8" t="s">
        <v>824</v>
      </c>
      <c r="J584" s="8" t="s">
        <v>889</v>
      </c>
      <c r="K584" s="8" t="n">
        <v>2</v>
      </c>
      <c r="L584" s="10"/>
      <c r="M584" s="10"/>
      <c r="N584" s="10" t="s">
        <v>48</v>
      </c>
      <c r="O584" s="10" t="s">
        <v>35</v>
      </c>
      <c r="P584" s="8" t="str">
        <f aca="false">MID(IF(L584="","","; APP:"&amp;L584)&amp;IF(M584="","","; PS1:"&amp;M584)&amp;IF(N584="","","; AQP4:"&amp;N584)&amp;IF(O584="","","; CAG-EGFP:"&amp;O584),3,200)</f>
        <v>AQP4:+/-; CAG-EGFP:+/+</v>
      </c>
      <c r="Q584" s="8" t="s">
        <v>47</v>
      </c>
      <c r="R584" s="8" t="s">
        <v>88</v>
      </c>
      <c r="S584" s="8"/>
      <c r="T584" s="8" t="s">
        <v>799</v>
      </c>
    </row>
    <row r="585" customFormat="false" ht="15" hidden="false" customHeight="false" outlineLevel="0" collapsed="false">
      <c r="A585" s="7" t="s">
        <v>890</v>
      </c>
      <c r="B585" s="8" t="s">
        <v>119</v>
      </c>
      <c r="C585" s="8" t="n">
        <v>76</v>
      </c>
      <c r="D585" s="8" t="s">
        <v>33</v>
      </c>
      <c r="E585" s="9" t="n">
        <v>45816</v>
      </c>
      <c r="F585" s="8" t="n">
        <f aca="true">IF(E585="","",ROUND((TODAY()-E585)/7,1))</f>
        <v>53</v>
      </c>
      <c r="G585" s="8" t="s">
        <v>38</v>
      </c>
      <c r="H585" s="8"/>
      <c r="I585" s="8" t="s">
        <v>824</v>
      </c>
      <c r="J585" s="8" t="s">
        <v>889</v>
      </c>
      <c r="K585" s="8" t="n">
        <v>2</v>
      </c>
      <c r="L585" s="10"/>
      <c r="M585" s="10"/>
      <c r="N585" s="10" t="s">
        <v>35</v>
      </c>
      <c r="O585" s="10" t="s">
        <v>48</v>
      </c>
      <c r="P585" s="8" t="str">
        <f aca="false">MID(IF(L585="","","; APP:"&amp;L585)&amp;IF(M585="","","; PS1:"&amp;M585)&amp;IF(N585="","","; AQP4:"&amp;N585)&amp;IF(O585="","","; CAG-EGFP:"&amp;O585),3,200)</f>
        <v>AQP4:+/+; CAG-EGFP:+/-</v>
      </c>
      <c r="Q585" s="8" t="s">
        <v>47</v>
      </c>
      <c r="R585" s="8" t="s">
        <v>88</v>
      </c>
      <c r="S585" s="8"/>
      <c r="T585" s="8" t="s">
        <v>799</v>
      </c>
    </row>
    <row r="586" customFormat="false" ht="15" hidden="false" customHeight="false" outlineLevel="0" collapsed="false">
      <c r="A586" s="7" t="s">
        <v>891</v>
      </c>
      <c r="B586" s="8" t="s">
        <v>119</v>
      </c>
      <c r="C586" s="8" t="n">
        <v>77</v>
      </c>
      <c r="D586" s="8" t="s">
        <v>46</v>
      </c>
      <c r="E586" s="9" t="n">
        <v>45816</v>
      </c>
      <c r="F586" s="8" t="n">
        <f aca="true">IF(E586="","",ROUND((TODAY()-E586)/7,1))</f>
        <v>53</v>
      </c>
      <c r="G586" s="8" t="s">
        <v>38</v>
      </c>
      <c r="H586" s="8"/>
      <c r="I586" s="8" t="s">
        <v>824</v>
      </c>
      <c r="J586" s="8" t="s">
        <v>889</v>
      </c>
      <c r="K586" s="8" t="n">
        <v>2</v>
      </c>
      <c r="L586" s="10"/>
      <c r="M586" s="10"/>
      <c r="N586" s="10" t="s">
        <v>48</v>
      </c>
      <c r="O586" s="10" t="s">
        <v>48</v>
      </c>
      <c r="P586" s="8" t="str">
        <f aca="false">MID(IF(L586="","","; APP:"&amp;L586)&amp;IF(M586="","","; PS1:"&amp;M586)&amp;IF(N586="","","; AQP4:"&amp;N586)&amp;IF(O586="","","; CAG-EGFP:"&amp;O586),3,200)</f>
        <v>AQP4:+/-; CAG-EGFP:+/-</v>
      </c>
      <c r="Q586" s="8" t="s">
        <v>47</v>
      </c>
      <c r="R586" s="8" t="s">
        <v>88</v>
      </c>
      <c r="S586" s="8"/>
      <c r="T586" s="8" t="s">
        <v>799</v>
      </c>
    </row>
    <row r="587" customFormat="false" ht="15" hidden="false" customHeight="false" outlineLevel="0" collapsed="false">
      <c r="A587" s="7" t="s">
        <v>892</v>
      </c>
      <c r="B587" s="8" t="s">
        <v>119</v>
      </c>
      <c r="C587" s="8" t="n">
        <v>78</v>
      </c>
      <c r="D587" s="8" t="s">
        <v>46</v>
      </c>
      <c r="E587" s="9" t="n">
        <v>45816</v>
      </c>
      <c r="F587" s="8" t="n">
        <f aca="true">IF(E587="","",ROUND((TODAY()-E587)/7,1))</f>
        <v>53</v>
      </c>
      <c r="G587" s="8" t="s">
        <v>38</v>
      </c>
      <c r="H587" s="8"/>
      <c r="I587" s="8" t="s">
        <v>824</v>
      </c>
      <c r="J587" s="8" t="s">
        <v>889</v>
      </c>
      <c r="K587" s="8" t="n">
        <v>2</v>
      </c>
      <c r="L587" s="10"/>
      <c r="M587" s="10"/>
      <c r="N587" s="10" t="s">
        <v>48</v>
      </c>
      <c r="O587" s="10" t="s">
        <v>48</v>
      </c>
      <c r="P587" s="8" t="str">
        <f aca="false">MID(IF(L587="","","; APP:"&amp;L587)&amp;IF(M587="","","; PS1:"&amp;M587)&amp;IF(N587="","","; AQP4:"&amp;N587)&amp;IF(O587="","","; CAG-EGFP:"&amp;O587),3,200)</f>
        <v>AQP4:+/-; CAG-EGFP:+/-</v>
      </c>
      <c r="Q587" s="8" t="s">
        <v>47</v>
      </c>
      <c r="R587" s="8" t="s">
        <v>88</v>
      </c>
      <c r="S587" s="8"/>
      <c r="T587" s="8" t="s">
        <v>799</v>
      </c>
    </row>
    <row r="588" customFormat="false" ht="15" hidden="false" customHeight="false" outlineLevel="0" collapsed="false">
      <c r="A588" s="7" t="s">
        <v>893</v>
      </c>
      <c r="B588" s="8" t="s">
        <v>119</v>
      </c>
      <c r="C588" s="8" t="n">
        <v>79</v>
      </c>
      <c r="D588" s="8" t="s">
        <v>46</v>
      </c>
      <c r="E588" s="9" t="n">
        <v>45816</v>
      </c>
      <c r="F588" s="8" t="n">
        <f aca="true">IF(E588="","",ROUND((TODAY()-E588)/7,1))</f>
        <v>53</v>
      </c>
      <c r="G588" s="8" t="s">
        <v>38</v>
      </c>
      <c r="H588" s="8"/>
      <c r="I588" s="8" t="s">
        <v>824</v>
      </c>
      <c r="J588" s="8" t="s">
        <v>889</v>
      </c>
      <c r="K588" s="8" t="n">
        <v>2</v>
      </c>
      <c r="L588" s="10"/>
      <c r="M588" s="10"/>
      <c r="N588" s="10" t="s">
        <v>62</v>
      </c>
      <c r="O588" s="10" t="s">
        <v>35</v>
      </c>
      <c r="P588" s="8" t="str">
        <f aca="false">MID(IF(L588="","","; APP:"&amp;L588)&amp;IF(M588="","","; PS1:"&amp;M588)&amp;IF(N588="","","; AQP4:"&amp;N588)&amp;IF(O588="","","; CAG-EGFP:"&amp;O588),3,200)</f>
        <v>AQP4:-/-; CAG-EGFP:+/+</v>
      </c>
      <c r="Q588" s="8" t="s">
        <v>47</v>
      </c>
      <c r="R588" s="8" t="s">
        <v>14</v>
      </c>
      <c r="S588" s="8"/>
      <c r="T588" s="8" t="s">
        <v>799</v>
      </c>
    </row>
    <row r="589" customFormat="false" ht="15" hidden="false" customHeight="false" outlineLevel="0" collapsed="false">
      <c r="A589" s="7" t="s">
        <v>894</v>
      </c>
      <c r="B589" s="8" t="s">
        <v>119</v>
      </c>
      <c r="C589" s="8" t="n">
        <v>80</v>
      </c>
      <c r="D589" s="8" t="s">
        <v>33</v>
      </c>
      <c r="E589" s="9" t="n">
        <v>45904</v>
      </c>
      <c r="F589" s="8" t="n">
        <f aca="true">IF(E589="","",ROUND((TODAY()-E589)/7,1))</f>
        <v>40.4</v>
      </c>
      <c r="G589" s="8" t="s">
        <v>38</v>
      </c>
      <c r="H589" s="8"/>
      <c r="I589" s="8" t="s">
        <v>879</v>
      </c>
      <c r="J589" s="8" t="s">
        <v>880</v>
      </c>
      <c r="K589" s="8" t="n">
        <v>3</v>
      </c>
      <c r="L589" s="10"/>
      <c r="M589" s="10"/>
      <c r="N589" s="10" t="s">
        <v>62</v>
      </c>
      <c r="O589" s="10" t="s">
        <v>35</v>
      </c>
      <c r="P589" s="8" t="str">
        <f aca="false">MID(IF(L589="","","; APP:"&amp;L589)&amp;IF(M589="","","; PS1:"&amp;M589)&amp;IF(N589="","","; AQP4:"&amp;N589)&amp;IF(O589="","","; CAG-EGFP:"&amp;O589),3,200)</f>
        <v>AQP4:-/-; CAG-EGFP:+/+</v>
      </c>
      <c r="Q589" s="8" t="s">
        <v>47</v>
      </c>
      <c r="R589" s="8" t="s">
        <v>88</v>
      </c>
      <c r="S589" s="8"/>
      <c r="T589" s="8"/>
    </row>
    <row r="590" customFormat="false" ht="15" hidden="false" customHeight="false" outlineLevel="0" collapsed="false">
      <c r="A590" s="7" t="s">
        <v>895</v>
      </c>
      <c r="B590" s="8" t="s">
        <v>119</v>
      </c>
      <c r="C590" s="8" t="n">
        <v>81</v>
      </c>
      <c r="D590" s="8" t="s">
        <v>33</v>
      </c>
      <c r="E590" s="9" t="n">
        <v>45904</v>
      </c>
      <c r="F590" s="8" t="n">
        <f aca="true">IF(E590="","",ROUND((TODAY()-E590)/7,1))</f>
        <v>40.4</v>
      </c>
      <c r="G590" s="8" t="s">
        <v>38</v>
      </c>
      <c r="H590" s="8"/>
      <c r="I590" s="8" t="s">
        <v>879</v>
      </c>
      <c r="J590" s="8" t="s">
        <v>880</v>
      </c>
      <c r="K590" s="8" t="n">
        <v>3</v>
      </c>
      <c r="L590" s="10"/>
      <c r="M590" s="10"/>
      <c r="N590" s="10" t="s">
        <v>62</v>
      </c>
      <c r="O590" s="10" t="s">
        <v>35</v>
      </c>
      <c r="P590" s="8" t="str">
        <f aca="false">MID(IF(L590="","","; APP:"&amp;L590)&amp;IF(M590="","","; PS1:"&amp;M590)&amp;IF(N590="","","; AQP4:"&amp;N590)&amp;IF(O590="","","; CAG-EGFP:"&amp;O590),3,200)</f>
        <v>AQP4:-/-; CAG-EGFP:+/+</v>
      </c>
      <c r="Q590" s="8" t="s">
        <v>47</v>
      </c>
      <c r="R590" s="8" t="s">
        <v>88</v>
      </c>
      <c r="S590" s="8"/>
      <c r="T590" s="8"/>
    </row>
    <row r="591" customFormat="false" ht="15" hidden="false" customHeight="false" outlineLevel="0" collapsed="false">
      <c r="A591" s="7" t="s">
        <v>896</v>
      </c>
      <c r="B591" s="8" t="s">
        <v>119</v>
      </c>
      <c r="C591" s="8" t="n">
        <v>82</v>
      </c>
      <c r="D591" s="8" t="s">
        <v>33</v>
      </c>
      <c r="E591" s="9" t="n">
        <v>45904</v>
      </c>
      <c r="F591" s="8" t="n">
        <f aca="true">IF(E591="","",ROUND((TODAY()-E591)/7,1))</f>
        <v>40.4</v>
      </c>
      <c r="G591" s="8" t="s">
        <v>38</v>
      </c>
      <c r="H591" s="8"/>
      <c r="I591" s="8" t="s">
        <v>879</v>
      </c>
      <c r="J591" s="8" t="s">
        <v>880</v>
      </c>
      <c r="K591" s="8" t="n">
        <v>3</v>
      </c>
      <c r="L591" s="10"/>
      <c r="M591" s="10"/>
      <c r="N591" s="10" t="s">
        <v>62</v>
      </c>
      <c r="O591" s="10" t="s">
        <v>35</v>
      </c>
      <c r="P591" s="8" t="str">
        <f aca="false">MID(IF(L591="","","; APP:"&amp;L591)&amp;IF(M591="","","; PS1:"&amp;M591)&amp;IF(N591="","","; AQP4:"&amp;N591)&amp;IF(O591="","","; CAG-EGFP:"&amp;O591),3,200)</f>
        <v>AQP4:-/-; CAG-EGFP:+/+</v>
      </c>
      <c r="Q591" s="8" t="s">
        <v>47</v>
      </c>
      <c r="R591" s="8" t="s">
        <v>88</v>
      </c>
      <c r="S591" s="8"/>
      <c r="T591" s="8"/>
    </row>
    <row r="592" customFormat="false" ht="15" hidden="false" customHeight="false" outlineLevel="0" collapsed="false">
      <c r="A592" s="7" t="s">
        <v>897</v>
      </c>
      <c r="B592" s="8" t="s">
        <v>119</v>
      </c>
      <c r="C592" s="8" t="n">
        <v>83</v>
      </c>
      <c r="D592" s="8" t="s">
        <v>33</v>
      </c>
      <c r="E592" s="9" t="n">
        <v>45904</v>
      </c>
      <c r="F592" s="8" t="n">
        <f aca="true">IF(E592="","",ROUND((TODAY()-E592)/7,1))</f>
        <v>40.4</v>
      </c>
      <c r="G592" s="8" t="s">
        <v>38</v>
      </c>
      <c r="H592" s="8"/>
      <c r="I592" s="8" t="s">
        <v>879</v>
      </c>
      <c r="J592" s="8" t="s">
        <v>880</v>
      </c>
      <c r="K592" s="8" t="n">
        <v>3</v>
      </c>
      <c r="L592" s="10"/>
      <c r="M592" s="10"/>
      <c r="N592" s="10" t="s">
        <v>62</v>
      </c>
      <c r="O592" s="10" t="s">
        <v>35</v>
      </c>
      <c r="P592" s="8" t="str">
        <f aca="false">MID(IF(L592="","","; APP:"&amp;L592)&amp;IF(M592="","","; PS1:"&amp;M592)&amp;IF(N592="","","; AQP4:"&amp;N592)&amp;IF(O592="","","; CAG-EGFP:"&amp;O592),3,200)</f>
        <v>AQP4:-/-; CAG-EGFP:+/+</v>
      </c>
      <c r="Q592" s="8" t="s">
        <v>47</v>
      </c>
      <c r="R592" s="8" t="s">
        <v>14</v>
      </c>
      <c r="S592" s="8"/>
      <c r="T592" s="8"/>
    </row>
    <row r="593" customFormat="false" ht="15" hidden="false" customHeight="false" outlineLevel="0" collapsed="false">
      <c r="A593" s="7" t="s">
        <v>898</v>
      </c>
      <c r="B593" s="8" t="s">
        <v>119</v>
      </c>
      <c r="C593" s="8" t="n">
        <v>84</v>
      </c>
      <c r="D593" s="8" t="s">
        <v>46</v>
      </c>
      <c r="E593" s="9" t="n">
        <v>45904</v>
      </c>
      <c r="F593" s="8" t="n">
        <f aca="true">IF(E593="","",ROUND((TODAY()-E593)/7,1))</f>
        <v>40.4</v>
      </c>
      <c r="G593" s="8" t="s">
        <v>38</v>
      </c>
      <c r="H593" s="8"/>
      <c r="I593" s="8" t="s">
        <v>879</v>
      </c>
      <c r="J593" s="8" t="s">
        <v>880</v>
      </c>
      <c r="K593" s="8" t="n">
        <v>3</v>
      </c>
      <c r="L593" s="10"/>
      <c r="M593" s="10"/>
      <c r="N593" s="10" t="s">
        <v>62</v>
      </c>
      <c r="O593" s="10" t="s">
        <v>35</v>
      </c>
      <c r="P593" s="8" t="str">
        <f aca="false">MID(IF(L593="","","; APP:"&amp;L593)&amp;IF(M593="","","; PS1:"&amp;M593)&amp;IF(N593="","","; AQP4:"&amp;N593)&amp;IF(O593="","","; CAG-EGFP:"&amp;O593),3,200)</f>
        <v>AQP4:-/-; CAG-EGFP:+/+</v>
      </c>
      <c r="Q593" s="8" t="s">
        <v>47</v>
      </c>
      <c r="R593" s="8" t="s">
        <v>14</v>
      </c>
      <c r="S593" s="8"/>
      <c r="T593" s="8"/>
    </row>
    <row r="594" customFormat="false" ht="15" hidden="false" customHeight="false" outlineLevel="0" collapsed="false">
      <c r="A594" s="7" t="s">
        <v>899</v>
      </c>
      <c r="B594" s="8" t="s">
        <v>119</v>
      </c>
      <c r="C594" s="8" t="n">
        <v>85</v>
      </c>
      <c r="D594" s="8" t="s">
        <v>46</v>
      </c>
      <c r="E594" s="9" t="n">
        <v>45904</v>
      </c>
      <c r="F594" s="8" t="n">
        <f aca="true">IF(E594="","",ROUND((TODAY()-E594)/7,1))</f>
        <v>40.4</v>
      </c>
      <c r="G594" s="8" t="s">
        <v>38</v>
      </c>
      <c r="H594" s="8"/>
      <c r="I594" s="8" t="s">
        <v>879</v>
      </c>
      <c r="J594" s="8" t="s">
        <v>880</v>
      </c>
      <c r="K594" s="8" t="n">
        <v>3</v>
      </c>
      <c r="L594" s="10"/>
      <c r="M594" s="10"/>
      <c r="N594" s="10" t="s">
        <v>62</v>
      </c>
      <c r="O594" s="10" t="s">
        <v>35</v>
      </c>
      <c r="P594" s="8" t="str">
        <f aca="false">MID(IF(L594="","","; APP:"&amp;L594)&amp;IF(M594="","","; PS1:"&amp;M594)&amp;IF(N594="","","; AQP4:"&amp;N594)&amp;IF(O594="","","; CAG-EGFP:"&amp;O594),3,200)</f>
        <v>AQP4:-/-; CAG-EGFP:+/+</v>
      </c>
      <c r="Q594" s="8" t="s">
        <v>47</v>
      </c>
      <c r="R594" s="8" t="s">
        <v>14</v>
      </c>
      <c r="S594" s="8"/>
      <c r="T594" s="8"/>
    </row>
    <row r="595" customFormat="false" ht="15" hidden="false" customHeight="false" outlineLevel="0" collapsed="false">
      <c r="A595" s="7" t="s">
        <v>900</v>
      </c>
      <c r="B595" s="8" t="s">
        <v>119</v>
      </c>
      <c r="C595" s="8" t="n">
        <v>86</v>
      </c>
      <c r="D595" s="8" t="s">
        <v>46</v>
      </c>
      <c r="E595" s="9" t="n">
        <v>45904</v>
      </c>
      <c r="F595" s="8" t="n">
        <f aca="true">IF(E595="","",ROUND((TODAY()-E595)/7,1))</f>
        <v>40.4</v>
      </c>
      <c r="G595" s="8" t="s">
        <v>38</v>
      </c>
      <c r="H595" s="8"/>
      <c r="I595" s="8" t="s">
        <v>879</v>
      </c>
      <c r="J595" s="8" t="s">
        <v>880</v>
      </c>
      <c r="K595" s="8" t="n">
        <v>3</v>
      </c>
      <c r="L595" s="10"/>
      <c r="M595" s="10"/>
      <c r="N595" s="10" t="s">
        <v>62</v>
      </c>
      <c r="O595" s="10" t="s">
        <v>35</v>
      </c>
      <c r="P595" s="8" t="str">
        <f aca="false">MID(IF(L595="","","; APP:"&amp;L595)&amp;IF(M595="","","; PS1:"&amp;M595)&amp;IF(N595="","","; AQP4:"&amp;N595)&amp;IF(O595="","","; CAG-EGFP:"&amp;O595),3,200)</f>
        <v>AQP4:-/-; CAG-EGFP:+/+</v>
      </c>
      <c r="Q595" s="8" t="s">
        <v>47</v>
      </c>
      <c r="R595" s="8" t="s">
        <v>14</v>
      </c>
      <c r="S595" s="8"/>
      <c r="T595" s="8"/>
    </row>
    <row r="596" customFormat="false" ht="15" hidden="false" customHeight="false" outlineLevel="0" collapsed="false">
      <c r="A596" s="7" t="s">
        <v>901</v>
      </c>
      <c r="B596" s="8" t="s">
        <v>119</v>
      </c>
      <c r="C596" s="8" t="n">
        <v>87</v>
      </c>
      <c r="D596" s="8"/>
      <c r="E596" s="9" t="n">
        <v>45904</v>
      </c>
      <c r="F596" s="8" t="n">
        <f aca="true">IF(E596="","",ROUND((TODAY()-E596)/7,1))</f>
        <v>40.4</v>
      </c>
      <c r="G596" s="8" t="s">
        <v>38</v>
      </c>
      <c r="H596" s="8"/>
      <c r="I596" s="8" t="s">
        <v>879</v>
      </c>
      <c r="J596" s="8" t="s">
        <v>880</v>
      </c>
      <c r="K596" s="8" t="n">
        <v>3</v>
      </c>
      <c r="L596" s="10"/>
      <c r="M596" s="10"/>
      <c r="N596" s="10"/>
      <c r="O596" s="10" t="s">
        <v>83</v>
      </c>
      <c r="P596" s="8" t="str">
        <f aca="false">MID(IF(L596="","","; APP:"&amp;L596)&amp;IF(M596="","","; PS1:"&amp;M596)&amp;IF(N596="","","; AQP4:"&amp;N596)&amp;IF(O596="","","; CAG-EGFP:"&amp;O596),3,200)</f>
        <v>CAG-EGFP:-</v>
      </c>
      <c r="Q596" s="8" t="s">
        <v>34</v>
      </c>
      <c r="R596" s="8" t="s">
        <v>88</v>
      </c>
      <c r="S596" s="8"/>
      <c r="T596" s="8"/>
    </row>
    <row r="597" customFormat="false" ht="15" hidden="false" customHeight="false" outlineLevel="0" collapsed="false">
      <c r="A597" s="7" t="s">
        <v>902</v>
      </c>
      <c r="B597" s="8" t="s">
        <v>119</v>
      </c>
      <c r="C597" s="8" t="n">
        <v>88</v>
      </c>
      <c r="D597" s="8"/>
      <c r="E597" s="9" t="n">
        <v>45950</v>
      </c>
      <c r="F597" s="8" t="n">
        <f aca="true">IF(E597="","",ROUND((TODAY()-E597)/7,1))</f>
        <v>33.9</v>
      </c>
      <c r="G597" s="8" t="s">
        <v>38</v>
      </c>
      <c r="H597" s="8"/>
      <c r="I597" s="8" t="s">
        <v>903</v>
      </c>
      <c r="J597" s="8" t="s">
        <v>904</v>
      </c>
      <c r="K597" s="8"/>
      <c r="L597" s="10"/>
      <c r="M597" s="10"/>
      <c r="N597" s="10"/>
      <c r="O597" s="10" t="s">
        <v>83</v>
      </c>
      <c r="P597" s="8" t="str">
        <f aca="false">MID(IF(L597="","","; APP:"&amp;L597)&amp;IF(M597="","","; PS1:"&amp;M597)&amp;IF(N597="","","; AQP4:"&amp;N597)&amp;IF(O597="","","; CAG-EGFP:"&amp;O597),3,200)</f>
        <v>CAG-EGFP:-</v>
      </c>
      <c r="Q597" s="8" t="s">
        <v>34</v>
      </c>
      <c r="R597" s="8" t="s">
        <v>88</v>
      </c>
      <c r="S597" s="8"/>
      <c r="T597" s="8"/>
    </row>
    <row r="598" customFormat="false" ht="15" hidden="false" customHeight="false" outlineLevel="0" collapsed="false">
      <c r="A598" s="7" t="s">
        <v>905</v>
      </c>
      <c r="B598" s="8" t="s">
        <v>119</v>
      </c>
      <c r="C598" s="8" t="n">
        <v>89</v>
      </c>
      <c r="D598" s="8"/>
      <c r="E598" s="9" t="n">
        <v>45950</v>
      </c>
      <c r="F598" s="8" t="n">
        <f aca="true">IF(E598="","",ROUND((TODAY()-E598)/7,1))</f>
        <v>33.9</v>
      </c>
      <c r="G598" s="8" t="s">
        <v>38</v>
      </c>
      <c r="H598" s="8"/>
      <c r="I598" s="8" t="s">
        <v>903</v>
      </c>
      <c r="J598" s="8" t="s">
        <v>904</v>
      </c>
      <c r="K598" s="8"/>
      <c r="L598" s="10"/>
      <c r="M598" s="10"/>
      <c r="N598" s="10"/>
      <c r="O598" s="10" t="s">
        <v>83</v>
      </c>
      <c r="P598" s="8" t="str">
        <f aca="false">MID(IF(L598="","","; APP:"&amp;L598)&amp;IF(M598="","","; PS1:"&amp;M598)&amp;IF(N598="","","; AQP4:"&amp;N598)&amp;IF(O598="","","; CAG-EGFP:"&amp;O598),3,200)</f>
        <v>CAG-EGFP:-</v>
      </c>
      <c r="Q598" s="8" t="s">
        <v>34</v>
      </c>
      <c r="R598" s="8" t="s">
        <v>88</v>
      </c>
      <c r="S598" s="8"/>
      <c r="T598" s="8"/>
    </row>
    <row r="599" customFormat="false" ht="15" hidden="false" customHeight="false" outlineLevel="0" collapsed="false">
      <c r="A599" s="7" t="s">
        <v>906</v>
      </c>
      <c r="B599" s="8" t="s">
        <v>119</v>
      </c>
      <c r="C599" s="8" t="n">
        <v>90</v>
      </c>
      <c r="D599" s="8"/>
      <c r="E599" s="9" t="n">
        <v>45950</v>
      </c>
      <c r="F599" s="8" t="n">
        <f aca="true">IF(E599="","",ROUND((TODAY()-E599)/7,1))</f>
        <v>33.9</v>
      </c>
      <c r="G599" s="8" t="s">
        <v>38</v>
      </c>
      <c r="H599" s="8"/>
      <c r="I599" s="8" t="s">
        <v>903</v>
      </c>
      <c r="J599" s="8" t="s">
        <v>904</v>
      </c>
      <c r="K599" s="8"/>
      <c r="L599" s="10"/>
      <c r="M599" s="10"/>
      <c r="N599" s="10"/>
      <c r="O599" s="10" t="s">
        <v>83</v>
      </c>
      <c r="P599" s="8" t="str">
        <f aca="false">MID(IF(L599="","","; APP:"&amp;L599)&amp;IF(M599="","","; PS1:"&amp;M599)&amp;IF(N599="","","; AQP4:"&amp;N599)&amp;IF(O599="","","; CAG-EGFP:"&amp;O599),3,200)</f>
        <v>CAG-EGFP:-</v>
      </c>
      <c r="Q599" s="8" t="s">
        <v>34</v>
      </c>
      <c r="R599" s="8" t="s">
        <v>88</v>
      </c>
      <c r="S599" s="8"/>
      <c r="T599" s="8"/>
    </row>
    <row r="600" customFormat="false" ht="15" hidden="false" customHeight="false" outlineLevel="0" collapsed="false">
      <c r="A600" s="7" t="s">
        <v>907</v>
      </c>
      <c r="B600" s="8" t="s">
        <v>119</v>
      </c>
      <c r="C600" s="8" t="n">
        <v>91</v>
      </c>
      <c r="D600" s="8"/>
      <c r="E600" s="9" t="n">
        <v>45950</v>
      </c>
      <c r="F600" s="8" t="n">
        <f aca="true">IF(E600="","",ROUND((TODAY()-E600)/7,1))</f>
        <v>33.9</v>
      </c>
      <c r="G600" s="8" t="s">
        <v>38</v>
      </c>
      <c r="H600" s="8"/>
      <c r="I600" s="8" t="s">
        <v>903</v>
      </c>
      <c r="J600" s="8" t="s">
        <v>904</v>
      </c>
      <c r="K600" s="8"/>
      <c r="L600" s="10"/>
      <c r="M600" s="10"/>
      <c r="N600" s="10"/>
      <c r="O600" s="10" t="s">
        <v>83</v>
      </c>
      <c r="P600" s="8" t="str">
        <f aca="false">MID(IF(L600="","","; APP:"&amp;L600)&amp;IF(M600="","","; PS1:"&amp;M600)&amp;IF(N600="","","; AQP4:"&amp;N600)&amp;IF(O600="","","; CAG-EGFP:"&amp;O600),3,200)</f>
        <v>CAG-EGFP:-</v>
      </c>
      <c r="Q600" s="8" t="s">
        <v>34</v>
      </c>
      <c r="R600" s="8" t="s">
        <v>88</v>
      </c>
      <c r="S600" s="8"/>
      <c r="T600" s="8"/>
    </row>
    <row r="601" customFormat="false" ht="15" hidden="false" customHeight="false" outlineLevel="0" collapsed="false">
      <c r="A601" s="7" t="s">
        <v>908</v>
      </c>
      <c r="B601" s="8" t="s">
        <v>119</v>
      </c>
      <c r="C601" s="8" t="n">
        <v>92</v>
      </c>
      <c r="D601" s="8" t="s">
        <v>33</v>
      </c>
      <c r="E601" s="9" t="n">
        <v>46081</v>
      </c>
      <c r="F601" s="8" t="n">
        <f aca="true">IF(E601="","",ROUND((TODAY()-E601)/7,1))</f>
        <v>15.1</v>
      </c>
      <c r="G601" s="8" t="s">
        <v>38</v>
      </c>
      <c r="H601" s="8"/>
      <c r="I601" s="8" t="s">
        <v>903</v>
      </c>
      <c r="J601" s="8" t="s">
        <v>909</v>
      </c>
      <c r="K601" s="8" t="n">
        <v>4</v>
      </c>
      <c r="L601" s="10"/>
      <c r="M601" s="10"/>
      <c r="N601" s="10"/>
      <c r="O601" s="10" t="s">
        <v>83</v>
      </c>
      <c r="P601" s="8" t="str">
        <f aca="false">MID(IF(L601="","","; APP:"&amp;L601)&amp;IF(M601="","","; PS1:"&amp;M601)&amp;IF(N601="","","; AQP4:"&amp;N601)&amp;IF(O601="","","; CAG-EGFP:"&amp;O601),3,200)</f>
        <v>CAG-EGFP:-</v>
      </c>
      <c r="Q601" s="8" t="s">
        <v>34</v>
      </c>
      <c r="R601" s="8" t="s">
        <v>88</v>
      </c>
      <c r="S601" s="8"/>
      <c r="T601" s="8"/>
    </row>
    <row r="602" customFormat="false" ht="15" hidden="false" customHeight="false" outlineLevel="0" collapsed="false">
      <c r="A602" s="7" t="s">
        <v>910</v>
      </c>
      <c r="B602" s="8" t="s">
        <v>119</v>
      </c>
      <c r="C602" s="8" t="n">
        <v>93</v>
      </c>
      <c r="D602" s="8" t="s">
        <v>46</v>
      </c>
      <c r="E602" s="9" t="n">
        <v>46081</v>
      </c>
      <c r="F602" s="8" t="n">
        <f aca="true">IF(E602="","",ROUND((TODAY()-E602)/7,1))</f>
        <v>15.1</v>
      </c>
      <c r="G602" s="8" t="s">
        <v>38</v>
      </c>
      <c r="H602" s="8"/>
      <c r="I602" s="8" t="s">
        <v>903</v>
      </c>
      <c r="J602" s="8" t="s">
        <v>909</v>
      </c>
      <c r="K602" s="8" t="n">
        <v>4</v>
      </c>
      <c r="L602" s="10"/>
      <c r="M602" s="10"/>
      <c r="N602" s="10"/>
      <c r="O602" s="10" t="s">
        <v>83</v>
      </c>
      <c r="P602" s="8" t="str">
        <f aca="false">MID(IF(L602="","","; APP:"&amp;L602)&amp;IF(M602="","","; PS1:"&amp;M602)&amp;IF(N602="","","; AQP4:"&amp;N602)&amp;IF(O602="","","; CAG-EGFP:"&amp;O602),3,200)</f>
        <v>CAG-EGFP:-</v>
      </c>
      <c r="Q602" s="8" t="s">
        <v>34</v>
      </c>
      <c r="R602" s="8" t="s">
        <v>14</v>
      </c>
      <c r="S602" s="8"/>
      <c r="T602" s="8"/>
    </row>
    <row r="603" customFormat="false" ht="15" hidden="false" customHeight="false" outlineLevel="0" collapsed="false">
      <c r="A603" s="7" t="s">
        <v>911</v>
      </c>
      <c r="B603" s="8" t="s">
        <v>119</v>
      </c>
      <c r="C603" s="8" t="n">
        <v>94</v>
      </c>
      <c r="D603" s="8" t="s">
        <v>46</v>
      </c>
      <c r="E603" s="9" t="n">
        <v>46081</v>
      </c>
      <c r="F603" s="8" t="n">
        <f aca="true">IF(E603="","",ROUND((TODAY()-E603)/7,1))</f>
        <v>15.1</v>
      </c>
      <c r="G603" s="8" t="s">
        <v>38</v>
      </c>
      <c r="H603" s="8"/>
      <c r="I603" s="8" t="s">
        <v>903</v>
      </c>
      <c r="J603" s="8" t="s">
        <v>909</v>
      </c>
      <c r="K603" s="8" t="n">
        <v>4</v>
      </c>
      <c r="L603" s="10"/>
      <c r="M603" s="10"/>
      <c r="N603" s="10"/>
      <c r="O603" s="10" t="s">
        <v>83</v>
      </c>
      <c r="P603" s="8" t="str">
        <f aca="false">MID(IF(L603="","","; APP:"&amp;L603)&amp;IF(M603="","","; PS1:"&amp;M603)&amp;IF(N603="","","; AQP4:"&amp;N603)&amp;IF(O603="","","; CAG-EGFP:"&amp;O603),3,200)</f>
        <v>CAG-EGFP:-</v>
      </c>
      <c r="Q603" s="8" t="s">
        <v>34</v>
      </c>
      <c r="R603" s="8" t="s">
        <v>14</v>
      </c>
      <c r="S603" s="8"/>
      <c r="T603" s="8"/>
    </row>
    <row r="604" customFormat="false" ht="17.15" hidden="false" customHeight="false" outlineLevel="0" collapsed="false">
      <c r="A604" s="7" t="s">
        <v>912</v>
      </c>
      <c r="B604" s="8" t="s">
        <v>119</v>
      </c>
      <c r="C604" s="8" t="n">
        <v>95</v>
      </c>
      <c r="D604" s="8" t="s">
        <v>33</v>
      </c>
      <c r="E604" s="9" t="n">
        <v>46091</v>
      </c>
      <c r="F604" s="8" t="n">
        <f aca="true">IF(E604="","",ROUND((TODAY()-E604)/7,1))</f>
        <v>13.7</v>
      </c>
      <c r="G604" s="8" t="s">
        <v>38</v>
      </c>
      <c r="H604" s="8"/>
      <c r="I604" s="8" t="s">
        <v>903</v>
      </c>
      <c r="J604" s="8" t="s">
        <v>913</v>
      </c>
      <c r="K604" s="8" t="n">
        <v>4</v>
      </c>
      <c r="L604" s="10"/>
      <c r="M604" s="10"/>
      <c r="N604" s="10"/>
      <c r="O604" s="10" t="s">
        <v>83</v>
      </c>
      <c r="P604" s="8" t="str">
        <f aca="false">MID(IF(L604="","","; APP:"&amp;L604)&amp;IF(M604="","","; PS1:"&amp;M604)&amp;IF(N604="","","; AQP4:"&amp;N604)&amp;IF(O604="","","; CAG-EGFP:"&amp;O604),3,200)</f>
        <v>CAG-EGFP:-</v>
      </c>
      <c r="Q604" s="8" t="s">
        <v>34</v>
      </c>
      <c r="R604" s="8" t="s">
        <v>14</v>
      </c>
      <c r="S604" s="8"/>
      <c r="T604" s="8" t="s">
        <v>540</v>
      </c>
    </row>
    <row r="605" customFormat="false" ht="17.15" hidden="false" customHeight="false" outlineLevel="0" collapsed="false">
      <c r="A605" s="7" t="s">
        <v>914</v>
      </c>
      <c r="B605" s="8" t="s">
        <v>119</v>
      </c>
      <c r="C605" s="8" t="n">
        <v>96</v>
      </c>
      <c r="D605" s="8" t="s">
        <v>33</v>
      </c>
      <c r="E605" s="9" t="n">
        <v>46091</v>
      </c>
      <c r="F605" s="8" t="n">
        <f aca="true">IF(E605="","",ROUND((TODAY()-E605)/7,1))</f>
        <v>13.7</v>
      </c>
      <c r="G605" s="8" t="s">
        <v>38</v>
      </c>
      <c r="H605" s="8"/>
      <c r="I605" s="8" t="s">
        <v>903</v>
      </c>
      <c r="J605" s="8" t="s">
        <v>913</v>
      </c>
      <c r="K605" s="8" t="n">
        <v>4</v>
      </c>
      <c r="L605" s="10"/>
      <c r="M605" s="10"/>
      <c r="N605" s="10"/>
      <c r="O605" s="10" t="s">
        <v>83</v>
      </c>
      <c r="P605" s="8" t="str">
        <f aca="false">MID(IF(L605="","","; APP:"&amp;L605)&amp;IF(M605="","","; PS1:"&amp;M605)&amp;IF(N605="","","; AQP4:"&amp;N605)&amp;IF(O605="","","; CAG-EGFP:"&amp;O605),3,200)</f>
        <v>CAG-EGFP:-</v>
      </c>
      <c r="Q605" s="8" t="s">
        <v>34</v>
      </c>
      <c r="R605" s="8" t="s">
        <v>14</v>
      </c>
      <c r="S605" s="8"/>
      <c r="T605" s="8" t="s">
        <v>540</v>
      </c>
    </row>
    <row r="606" customFormat="false" ht="15" hidden="false" customHeight="false" outlineLevel="0" collapsed="false">
      <c r="A606" s="7" t="s">
        <v>915</v>
      </c>
      <c r="B606" s="8" t="s">
        <v>119</v>
      </c>
      <c r="C606" s="8" t="n">
        <v>97</v>
      </c>
      <c r="D606" s="8" t="s">
        <v>33</v>
      </c>
      <c r="E606" s="9" t="n">
        <v>46091</v>
      </c>
      <c r="F606" s="8" t="n">
        <f aca="true">IF(E606="","",ROUND((TODAY()-E606)/7,1))</f>
        <v>13.7</v>
      </c>
      <c r="G606" s="8" t="s">
        <v>38</v>
      </c>
      <c r="H606" s="8"/>
      <c r="I606" s="8" t="s">
        <v>903</v>
      </c>
      <c r="J606" s="8" t="s">
        <v>913</v>
      </c>
      <c r="K606" s="8" t="n">
        <v>4</v>
      </c>
      <c r="L606" s="10"/>
      <c r="M606" s="10"/>
      <c r="N606" s="10"/>
      <c r="O606" s="10" t="s">
        <v>83</v>
      </c>
      <c r="P606" s="8" t="str">
        <f aca="false">MID(IF(L606="","","; APP:"&amp;L606)&amp;IF(M606="","","; PS1:"&amp;M606)&amp;IF(N606="","","; AQP4:"&amp;N606)&amp;IF(O606="","","; CAG-EGFP:"&amp;O606),3,200)</f>
        <v>CAG-EGFP:-</v>
      </c>
      <c r="Q606" s="8" t="s">
        <v>34</v>
      </c>
      <c r="R606" s="8" t="s">
        <v>14</v>
      </c>
      <c r="S606" s="8"/>
      <c r="T606" s="8"/>
    </row>
    <row r="607" customFormat="false" ht="15" hidden="false" customHeight="false" outlineLevel="0" collapsed="false">
      <c r="A607" s="7" t="s">
        <v>916</v>
      </c>
      <c r="B607" s="8" t="s">
        <v>119</v>
      </c>
      <c r="C607" s="8" t="n">
        <v>98</v>
      </c>
      <c r="D607" s="8" t="s">
        <v>46</v>
      </c>
      <c r="E607" s="9" t="n">
        <v>46091</v>
      </c>
      <c r="F607" s="8" t="n">
        <f aca="true">IF(E607="","",ROUND((TODAY()-E607)/7,1))</f>
        <v>13.7</v>
      </c>
      <c r="G607" s="8" t="s">
        <v>38</v>
      </c>
      <c r="H607" s="8"/>
      <c r="I607" s="8" t="s">
        <v>903</v>
      </c>
      <c r="J607" s="8" t="s">
        <v>913</v>
      </c>
      <c r="K607" s="8" t="n">
        <v>4</v>
      </c>
      <c r="L607" s="10"/>
      <c r="M607" s="10"/>
      <c r="N607" s="10"/>
      <c r="O607" s="10" t="s">
        <v>83</v>
      </c>
      <c r="P607" s="8" t="str">
        <f aca="false">MID(IF(L607="","","; APP:"&amp;L607)&amp;IF(M607="","","; PS1:"&amp;M607)&amp;IF(N607="","","; AQP4:"&amp;N607)&amp;IF(O607="","","; CAG-EGFP:"&amp;O607),3,200)</f>
        <v>CAG-EGFP:-</v>
      </c>
      <c r="Q607" s="8" t="s">
        <v>34</v>
      </c>
      <c r="R607" s="8" t="s">
        <v>14</v>
      </c>
      <c r="S607" s="8"/>
      <c r="T607" s="8"/>
    </row>
    <row r="608" customFormat="false" ht="15" hidden="false" customHeight="false" outlineLevel="0" collapsed="false">
      <c r="A608" s="7" t="s">
        <v>917</v>
      </c>
      <c r="B608" s="8" t="s">
        <v>119</v>
      </c>
      <c r="C608" s="8" t="n">
        <v>99</v>
      </c>
      <c r="D608" s="8" t="s">
        <v>46</v>
      </c>
      <c r="E608" s="9" t="n">
        <v>46091</v>
      </c>
      <c r="F608" s="8" t="n">
        <f aca="true">IF(E608="","",ROUND((TODAY()-E608)/7,1))</f>
        <v>13.7</v>
      </c>
      <c r="G608" s="8" t="s">
        <v>38</v>
      </c>
      <c r="H608" s="8"/>
      <c r="I608" s="8" t="s">
        <v>903</v>
      </c>
      <c r="J608" s="8" t="s">
        <v>913</v>
      </c>
      <c r="K608" s="8" t="n">
        <v>4</v>
      </c>
      <c r="L608" s="10"/>
      <c r="M608" s="10"/>
      <c r="N608" s="10"/>
      <c r="O608" s="10" t="s">
        <v>83</v>
      </c>
      <c r="P608" s="8" t="str">
        <f aca="false">MID(IF(L608="","","; APP:"&amp;L608)&amp;IF(M608="","","; PS1:"&amp;M608)&amp;IF(N608="","","; AQP4:"&amp;N608)&amp;IF(O608="","","; CAG-EGFP:"&amp;O608),3,200)</f>
        <v>CAG-EGFP:-</v>
      </c>
      <c r="Q608" s="8" t="s">
        <v>34</v>
      </c>
      <c r="R608" s="8" t="s">
        <v>14</v>
      </c>
      <c r="S608" s="8"/>
      <c r="T608" s="8"/>
    </row>
    <row r="609" customFormat="false" ht="15" hidden="false" customHeight="false" outlineLevel="0" collapsed="false">
      <c r="A609" s="7" t="s">
        <v>918</v>
      </c>
      <c r="B609" s="8" t="s">
        <v>119</v>
      </c>
      <c r="C609" s="8" t="n">
        <v>100</v>
      </c>
      <c r="D609" s="8"/>
      <c r="E609" s="9" t="n">
        <v>46163</v>
      </c>
      <c r="F609" s="8" t="n">
        <f aca="true">IF(E609="","",ROUND((TODAY()-E609)/7,1))</f>
        <v>3.4</v>
      </c>
      <c r="G609" s="8" t="s">
        <v>38</v>
      </c>
      <c r="H609" s="8"/>
      <c r="I609" s="8" t="s">
        <v>919</v>
      </c>
      <c r="J609" s="8" t="s">
        <v>920</v>
      </c>
      <c r="K609" s="8"/>
      <c r="L609" s="10"/>
      <c r="M609" s="10"/>
      <c r="N609" s="10"/>
      <c r="O609" s="10" t="s">
        <v>83</v>
      </c>
      <c r="P609" s="8" t="str">
        <f aca="false">MID(IF(L609="","","; APP:"&amp;L609)&amp;IF(M609="","","; PS1:"&amp;M609)&amp;IF(N609="","","; AQP4:"&amp;N609)&amp;IF(O609="","","; CAG-EGFP:"&amp;O609),3,200)</f>
        <v>CAG-EGFP:-</v>
      </c>
      <c r="Q609" s="8" t="s">
        <v>34</v>
      </c>
      <c r="R609" s="8" t="s">
        <v>14</v>
      </c>
      <c r="S609" s="8"/>
      <c r="T609" s="8"/>
    </row>
    <row r="610" customFormat="false" ht="15" hidden="false" customHeight="false" outlineLevel="0" collapsed="false">
      <c r="A610" s="7" t="s">
        <v>921</v>
      </c>
      <c r="B610" s="8" t="s">
        <v>119</v>
      </c>
      <c r="C610" s="8" t="n">
        <v>101</v>
      </c>
      <c r="D610" s="8"/>
      <c r="E610" s="9" t="n">
        <v>46163</v>
      </c>
      <c r="F610" s="8" t="n">
        <f aca="true">IF(E610="","",ROUND((TODAY()-E610)/7,1))</f>
        <v>3.4</v>
      </c>
      <c r="G610" s="8" t="s">
        <v>38</v>
      </c>
      <c r="H610" s="8"/>
      <c r="I610" s="8" t="s">
        <v>919</v>
      </c>
      <c r="J610" s="8" t="s">
        <v>920</v>
      </c>
      <c r="K610" s="8"/>
      <c r="L610" s="10"/>
      <c r="M610" s="10"/>
      <c r="N610" s="10"/>
      <c r="O610" s="10" t="s">
        <v>83</v>
      </c>
      <c r="P610" s="8" t="str">
        <f aca="false">MID(IF(L610="","","; APP:"&amp;L610)&amp;IF(M610="","","; PS1:"&amp;M610)&amp;IF(N610="","","; AQP4:"&amp;N610)&amp;IF(O610="","","; CAG-EGFP:"&amp;O610),3,200)</f>
        <v>CAG-EGFP:-</v>
      </c>
      <c r="Q610" s="8" t="s">
        <v>34</v>
      </c>
      <c r="R610" s="8" t="s">
        <v>14</v>
      </c>
      <c r="S610" s="8"/>
      <c r="T610" s="8"/>
    </row>
    <row r="611" customFormat="false" ht="15" hidden="false" customHeight="false" outlineLevel="0" collapsed="false">
      <c r="A611" s="7" t="s">
        <v>922</v>
      </c>
      <c r="B611" s="8" t="s">
        <v>119</v>
      </c>
      <c r="C611" s="8" t="n">
        <v>102</v>
      </c>
      <c r="D611" s="8"/>
      <c r="E611" s="9" t="n">
        <v>46163</v>
      </c>
      <c r="F611" s="8" t="n">
        <f aca="true">IF(E611="","",ROUND((TODAY()-E611)/7,1))</f>
        <v>3.4</v>
      </c>
      <c r="G611" s="8" t="s">
        <v>38</v>
      </c>
      <c r="H611" s="8"/>
      <c r="I611" s="8" t="s">
        <v>919</v>
      </c>
      <c r="J611" s="8" t="s">
        <v>920</v>
      </c>
      <c r="K611" s="8"/>
      <c r="L611" s="10"/>
      <c r="M611" s="10"/>
      <c r="N611" s="10"/>
      <c r="O611" s="10" t="s">
        <v>83</v>
      </c>
      <c r="P611" s="8" t="str">
        <f aca="false">MID(IF(L611="","","; APP:"&amp;L611)&amp;IF(M611="","","; PS1:"&amp;M611)&amp;IF(N611="","","; AQP4:"&amp;N611)&amp;IF(O611="","","; CAG-EGFP:"&amp;O611),3,200)</f>
        <v>CAG-EGFP:-</v>
      </c>
      <c r="Q611" s="8" t="s">
        <v>34</v>
      </c>
      <c r="R611" s="8" t="s">
        <v>14</v>
      </c>
      <c r="S611" s="8"/>
      <c r="T611" s="8"/>
    </row>
    <row r="612" customFormat="false" ht="15" hidden="false" customHeight="false" outlineLevel="0" collapsed="false">
      <c r="A612" s="7" t="s">
        <v>923</v>
      </c>
      <c r="B612" s="8" t="s">
        <v>119</v>
      </c>
      <c r="C612" s="8" t="n">
        <v>103</v>
      </c>
      <c r="D612" s="8"/>
      <c r="E612" s="9" t="n">
        <v>46163</v>
      </c>
      <c r="F612" s="8" t="n">
        <f aca="true">IF(E612="","",ROUND((TODAY()-E612)/7,1))</f>
        <v>3.4</v>
      </c>
      <c r="G612" s="8" t="s">
        <v>38</v>
      </c>
      <c r="H612" s="8"/>
      <c r="I612" s="8" t="s">
        <v>919</v>
      </c>
      <c r="J612" s="8" t="s">
        <v>920</v>
      </c>
      <c r="K612" s="8"/>
      <c r="L612" s="10"/>
      <c r="M612" s="10"/>
      <c r="N612" s="10"/>
      <c r="O612" s="10" t="s">
        <v>83</v>
      </c>
      <c r="P612" s="8" t="str">
        <f aca="false">MID(IF(L612="","","; APP:"&amp;L612)&amp;IF(M612="","","; PS1:"&amp;M612)&amp;IF(N612="","","; AQP4:"&amp;N612)&amp;IF(O612="","","; CAG-EGFP:"&amp;O612),3,200)</f>
        <v>CAG-EGFP:-</v>
      </c>
      <c r="Q612" s="8" t="s">
        <v>34</v>
      </c>
      <c r="R612" s="8" t="s">
        <v>14</v>
      </c>
      <c r="S612" s="8"/>
      <c r="T612" s="8"/>
    </row>
    <row r="613" customFormat="false" ht="15" hidden="false" customHeight="false" outlineLevel="0" collapsed="false">
      <c r="A613" s="7" t="s">
        <v>924</v>
      </c>
      <c r="B613" s="8" t="s">
        <v>119</v>
      </c>
      <c r="C613" s="8" t="n">
        <v>104</v>
      </c>
      <c r="D613" s="8"/>
      <c r="E613" s="9" t="n">
        <v>46163</v>
      </c>
      <c r="F613" s="8" t="n">
        <f aca="true">IF(E613="","",ROUND((TODAY()-E613)/7,1))</f>
        <v>3.4</v>
      </c>
      <c r="G613" s="8" t="s">
        <v>38</v>
      </c>
      <c r="H613" s="8"/>
      <c r="I613" s="8" t="s">
        <v>919</v>
      </c>
      <c r="J613" s="8" t="s">
        <v>920</v>
      </c>
      <c r="K613" s="8"/>
      <c r="L613" s="10"/>
      <c r="M613" s="10"/>
      <c r="N613" s="10"/>
      <c r="O613" s="10" t="s">
        <v>83</v>
      </c>
      <c r="P613" s="8" t="str">
        <f aca="false">MID(IF(L613="","","; APP:"&amp;L613)&amp;IF(M613="","","; PS1:"&amp;M613)&amp;IF(N613="","","; AQP4:"&amp;N613)&amp;IF(O613="","","; CAG-EGFP:"&amp;O613),3,200)</f>
        <v>CAG-EGFP:-</v>
      </c>
      <c r="Q613" s="8" t="s">
        <v>34</v>
      </c>
      <c r="R613" s="8" t="s">
        <v>14</v>
      </c>
      <c r="S613" s="8"/>
      <c r="T613" s="8"/>
    </row>
    <row r="614" customFormat="false" ht="15" hidden="false" customHeight="false" outlineLevel="0" collapsed="false">
      <c r="A614" s="7" t="s">
        <v>925</v>
      </c>
      <c r="B614" s="8" t="s">
        <v>119</v>
      </c>
      <c r="C614" s="8" t="n">
        <v>105</v>
      </c>
      <c r="D614" s="8"/>
      <c r="E614" s="9" t="n">
        <v>46163</v>
      </c>
      <c r="F614" s="8" t="n">
        <f aca="true">IF(E614="","",ROUND((TODAY()-E614)/7,1))</f>
        <v>3.4</v>
      </c>
      <c r="G614" s="8" t="s">
        <v>38</v>
      </c>
      <c r="H614" s="8"/>
      <c r="I614" s="8" t="s">
        <v>919</v>
      </c>
      <c r="J614" s="8" t="s">
        <v>920</v>
      </c>
      <c r="K614" s="8"/>
      <c r="L614" s="10"/>
      <c r="M614" s="10"/>
      <c r="N614" s="10"/>
      <c r="O614" s="10" t="s">
        <v>83</v>
      </c>
      <c r="P614" s="8" t="str">
        <f aca="false">MID(IF(L614="","","; APP:"&amp;L614)&amp;IF(M614="","","; PS1:"&amp;M614)&amp;IF(N614="","","; AQP4:"&amp;N614)&amp;IF(O614="","","; CAG-EGFP:"&amp;O614),3,200)</f>
        <v>CAG-EGFP:-</v>
      </c>
      <c r="Q614" s="8" t="s">
        <v>34</v>
      </c>
      <c r="R614" s="8" t="s">
        <v>14</v>
      </c>
      <c r="S614" s="8"/>
      <c r="T614" s="8"/>
    </row>
    <row r="615" customFormat="false" ht="15" hidden="false" customHeight="false" outlineLevel="0" collapsed="false">
      <c r="A615" s="7" t="s">
        <v>926</v>
      </c>
      <c r="B615" s="8" t="s">
        <v>119</v>
      </c>
      <c r="C615" s="8" t="n">
        <v>106</v>
      </c>
      <c r="D615" s="8"/>
      <c r="E615" s="9" t="n">
        <v>46163</v>
      </c>
      <c r="F615" s="8" t="n">
        <f aca="true">IF(E615="","",ROUND((TODAY()-E615)/7,1))</f>
        <v>3.4</v>
      </c>
      <c r="G615" s="8" t="s">
        <v>38</v>
      </c>
      <c r="H615" s="8"/>
      <c r="I615" s="8" t="s">
        <v>919</v>
      </c>
      <c r="J615" s="8" t="s">
        <v>920</v>
      </c>
      <c r="K615" s="8"/>
      <c r="L615" s="10"/>
      <c r="M615" s="10"/>
      <c r="N615" s="10"/>
      <c r="O615" s="10" t="s">
        <v>83</v>
      </c>
      <c r="P615" s="8" t="str">
        <f aca="false">MID(IF(L615="","","; APP:"&amp;L615)&amp;IF(M615="","","; PS1:"&amp;M615)&amp;IF(N615="","","; AQP4:"&amp;N615)&amp;IF(O615="","","; CAG-EGFP:"&amp;O615),3,200)</f>
        <v>CAG-EGFP:-</v>
      </c>
      <c r="Q615" s="8" t="s">
        <v>34</v>
      </c>
      <c r="R615" s="8" t="s">
        <v>14</v>
      </c>
      <c r="S615" s="8"/>
      <c r="T615" s="8"/>
    </row>
    <row r="616" customFormat="false" ht="15" hidden="false" customHeight="false" outlineLevel="0" collapsed="false">
      <c r="A616" s="7" t="s">
        <v>927</v>
      </c>
      <c r="B616" s="8" t="s">
        <v>119</v>
      </c>
      <c r="C616" s="8" t="n">
        <v>107</v>
      </c>
      <c r="D616" s="8"/>
      <c r="E616" s="8"/>
      <c r="F616" s="8" t="str">
        <f aca="true">IF(E616="","",ROUND((TODAY()-E616)/7,1))</f>
        <v/>
      </c>
      <c r="G616" s="8" t="s">
        <v>38</v>
      </c>
      <c r="H616" s="8"/>
      <c r="I616" s="8"/>
      <c r="J616" s="8"/>
      <c r="K616" s="8"/>
      <c r="L616" s="10"/>
      <c r="M616" s="10"/>
      <c r="N616" s="10"/>
      <c r="O616" s="10" t="s">
        <v>83</v>
      </c>
      <c r="P616" s="8" t="str">
        <f aca="false">MID(IF(L616="","","; APP:"&amp;L616)&amp;IF(M616="","","; PS1:"&amp;M616)&amp;IF(N616="","","; AQP4:"&amp;N616)&amp;IF(O616="","","; CAG-EGFP:"&amp;O616),3,200)</f>
        <v>CAG-EGFP:-</v>
      </c>
      <c r="Q616" s="8" t="s">
        <v>34</v>
      </c>
      <c r="R616" s="8"/>
      <c r="S616" s="8"/>
      <c r="T616" s="8"/>
    </row>
    <row r="617" customFormat="false" ht="15" hidden="false" customHeight="false" outlineLevel="0" collapsed="false">
      <c r="A617" s="7" t="s">
        <v>928</v>
      </c>
      <c r="B617" s="8" t="s">
        <v>119</v>
      </c>
      <c r="C617" s="8" t="n">
        <v>108</v>
      </c>
      <c r="D617" s="8"/>
      <c r="E617" s="8"/>
      <c r="F617" s="8" t="str">
        <f aca="true">IF(E617="","",ROUND((TODAY()-E617)/7,1))</f>
        <v/>
      </c>
      <c r="G617" s="8" t="s">
        <v>38</v>
      </c>
      <c r="H617" s="8"/>
      <c r="I617" s="8"/>
      <c r="J617" s="8"/>
      <c r="K617" s="8"/>
      <c r="L617" s="10"/>
      <c r="M617" s="10"/>
      <c r="N617" s="10"/>
      <c r="O617" s="10" t="s">
        <v>83</v>
      </c>
      <c r="P617" s="8" t="str">
        <f aca="false">MID(IF(L617="","","; APP:"&amp;L617)&amp;IF(M617="","","; PS1:"&amp;M617)&amp;IF(N617="","","; AQP4:"&amp;N617)&amp;IF(O617="","","; CAG-EGFP:"&amp;O617),3,200)</f>
        <v>CAG-EGFP:-</v>
      </c>
      <c r="Q617" s="8" t="s">
        <v>34</v>
      </c>
      <c r="R617" s="8"/>
      <c r="S617" s="8"/>
      <c r="T617" s="8"/>
    </row>
    <row r="618" customFormat="false" ht="15" hidden="false" customHeight="false" outlineLevel="0" collapsed="false">
      <c r="A618" s="7" t="s">
        <v>929</v>
      </c>
      <c r="B618" s="8" t="s">
        <v>119</v>
      </c>
      <c r="C618" s="8" t="n">
        <v>109</v>
      </c>
      <c r="D618" s="8"/>
      <c r="E618" s="8"/>
      <c r="F618" s="8" t="str">
        <f aca="true">IF(E618="","",ROUND((TODAY()-E618)/7,1))</f>
        <v/>
      </c>
      <c r="G618" s="8" t="s">
        <v>38</v>
      </c>
      <c r="H618" s="8"/>
      <c r="I618" s="8"/>
      <c r="J618" s="8"/>
      <c r="K618" s="8"/>
      <c r="L618" s="10"/>
      <c r="M618" s="10"/>
      <c r="N618" s="10"/>
      <c r="O618" s="10" t="s">
        <v>83</v>
      </c>
      <c r="P618" s="8" t="str">
        <f aca="false">MID(IF(L618="","","; APP:"&amp;L618)&amp;IF(M618="","","; PS1:"&amp;M618)&amp;IF(N618="","","; AQP4:"&amp;N618)&amp;IF(O618="","","; CAG-EGFP:"&amp;O618),3,200)</f>
        <v>CAG-EGFP:-</v>
      </c>
      <c r="Q618" s="8" t="s">
        <v>34</v>
      </c>
      <c r="R618" s="8"/>
      <c r="S618" s="8"/>
      <c r="T618" s="8"/>
    </row>
    <row r="619" customFormat="false" ht="15" hidden="false" customHeight="false" outlineLevel="0" collapsed="false">
      <c r="A619" s="7" t="s">
        <v>930</v>
      </c>
      <c r="B619" s="8" t="s">
        <v>119</v>
      </c>
      <c r="C619" s="8" t="n">
        <v>110</v>
      </c>
      <c r="D619" s="8"/>
      <c r="E619" s="8"/>
      <c r="F619" s="8" t="str">
        <f aca="true">IF(E619="","",ROUND((TODAY()-E619)/7,1))</f>
        <v/>
      </c>
      <c r="G619" s="8" t="s">
        <v>38</v>
      </c>
      <c r="H619" s="8"/>
      <c r="I619" s="8"/>
      <c r="J619" s="8"/>
      <c r="K619" s="8"/>
      <c r="L619" s="10"/>
      <c r="M619" s="10"/>
      <c r="N619" s="10"/>
      <c r="O619" s="10" t="s">
        <v>83</v>
      </c>
      <c r="P619" s="8" t="str">
        <f aca="false">MID(IF(L619="","","; APP:"&amp;L619)&amp;IF(M619="","","; PS1:"&amp;M619)&amp;IF(N619="","","; AQP4:"&amp;N619)&amp;IF(O619="","","; CAG-EGFP:"&amp;O619),3,200)</f>
        <v>CAG-EGFP:-</v>
      </c>
      <c r="Q619" s="8" t="s">
        <v>34</v>
      </c>
      <c r="R619" s="8"/>
      <c r="S619" s="8"/>
      <c r="T619" s="8"/>
    </row>
    <row r="620" customFormat="false" ht="15" hidden="false" customHeight="false" outlineLevel="0" collapsed="false">
      <c r="A620" s="7" t="s">
        <v>931</v>
      </c>
      <c r="B620" s="8" t="s">
        <v>119</v>
      </c>
      <c r="C620" s="8" t="n">
        <v>111</v>
      </c>
      <c r="D620" s="8"/>
      <c r="E620" s="8"/>
      <c r="F620" s="8" t="str">
        <f aca="true">IF(E620="","",ROUND((TODAY()-E620)/7,1))</f>
        <v/>
      </c>
      <c r="G620" s="8" t="s">
        <v>38</v>
      </c>
      <c r="H620" s="8"/>
      <c r="I620" s="8"/>
      <c r="J620" s="8"/>
      <c r="K620" s="8"/>
      <c r="L620" s="10"/>
      <c r="M620" s="10"/>
      <c r="N620" s="10"/>
      <c r="O620" s="10" t="s">
        <v>83</v>
      </c>
      <c r="P620" s="8" t="str">
        <f aca="false">MID(IF(L620="","","; APP:"&amp;L620)&amp;IF(M620="","","; PS1:"&amp;M620)&amp;IF(N620="","","; AQP4:"&amp;N620)&amp;IF(O620="","","; CAG-EGFP:"&amp;O620),3,200)</f>
        <v>CAG-EGFP:-</v>
      </c>
      <c r="Q620" s="8" t="s">
        <v>34</v>
      </c>
      <c r="R620" s="8"/>
      <c r="S620" s="8"/>
      <c r="T620" s="8"/>
    </row>
    <row r="621" customFormat="false" ht="15" hidden="false" customHeight="false" outlineLevel="0" collapsed="false">
      <c r="A621" s="7" t="s">
        <v>932</v>
      </c>
      <c r="B621" s="8" t="s">
        <v>119</v>
      </c>
      <c r="C621" s="8" t="n">
        <v>112</v>
      </c>
      <c r="D621" s="8"/>
      <c r="E621" s="8"/>
      <c r="F621" s="8" t="str">
        <f aca="true">IF(E621="","",ROUND((TODAY()-E621)/7,1))</f>
        <v/>
      </c>
      <c r="G621" s="8" t="s">
        <v>38</v>
      </c>
      <c r="H621" s="8"/>
      <c r="I621" s="8"/>
      <c r="J621" s="8"/>
      <c r="K621" s="8"/>
      <c r="L621" s="10"/>
      <c r="M621" s="10"/>
      <c r="N621" s="10"/>
      <c r="O621" s="10" t="s">
        <v>83</v>
      </c>
      <c r="P621" s="8" t="str">
        <f aca="false">MID(IF(L621="","","; APP:"&amp;L621)&amp;IF(M621="","","; PS1:"&amp;M621)&amp;IF(N621="","","; AQP4:"&amp;N621)&amp;IF(O621="","","; CAG-EGFP:"&amp;O621),3,200)</f>
        <v>CAG-EGFP:-</v>
      </c>
      <c r="Q621" s="8" t="s">
        <v>34</v>
      </c>
      <c r="R621" s="8"/>
      <c r="S621" s="8"/>
      <c r="T621" s="8"/>
    </row>
    <row r="622" customFormat="false" ht="15" hidden="false" customHeight="false" outlineLevel="0" collapsed="false">
      <c r="A622" s="7" t="s">
        <v>933</v>
      </c>
      <c r="B622" s="8" t="s">
        <v>119</v>
      </c>
      <c r="C622" s="8" t="n">
        <v>113</v>
      </c>
      <c r="D622" s="8"/>
      <c r="E622" s="8"/>
      <c r="F622" s="8" t="str">
        <f aca="true">IF(E622="","",ROUND((TODAY()-E622)/7,1))</f>
        <v/>
      </c>
      <c r="G622" s="8" t="s">
        <v>38</v>
      </c>
      <c r="H622" s="8"/>
      <c r="I622" s="8"/>
      <c r="J622" s="8"/>
      <c r="K622" s="8"/>
      <c r="L622" s="10"/>
      <c r="M622" s="10"/>
      <c r="N622" s="10"/>
      <c r="O622" s="10" t="s">
        <v>83</v>
      </c>
      <c r="P622" s="8" t="str">
        <f aca="false">MID(IF(L622="","","; APP:"&amp;L622)&amp;IF(M622="","","; PS1:"&amp;M622)&amp;IF(N622="","","; AQP4:"&amp;N622)&amp;IF(O622="","","; CAG-EGFP:"&amp;O622),3,200)</f>
        <v>CAG-EGFP:-</v>
      </c>
      <c r="Q622" s="8" t="s">
        <v>34</v>
      </c>
      <c r="R622" s="8"/>
      <c r="S622" s="8"/>
      <c r="T622" s="8"/>
    </row>
    <row r="623" customFormat="false" ht="15" hidden="false" customHeight="false" outlineLevel="0" collapsed="false">
      <c r="A623" s="7" t="s">
        <v>934</v>
      </c>
      <c r="B623" s="8" t="s">
        <v>119</v>
      </c>
      <c r="C623" s="8" t="n">
        <v>114</v>
      </c>
      <c r="D623" s="8"/>
      <c r="E623" s="8"/>
      <c r="F623" s="8" t="str">
        <f aca="true">IF(E623="","",ROUND((TODAY()-E623)/7,1))</f>
        <v/>
      </c>
      <c r="G623" s="8" t="s">
        <v>38</v>
      </c>
      <c r="H623" s="8"/>
      <c r="I623" s="8"/>
      <c r="J623" s="8"/>
      <c r="K623" s="8"/>
      <c r="L623" s="10"/>
      <c r="M623" s="10"/>
      <c r="N623" s="10"/>
      <c r="O623" s="10" t="s">
        <v>83</v>
      </c>
      <c r="P623" s="8" t="str">
        <f aca="false">MID(IF(L623="","","; APP:"&amp;L623)&amp;IF(M623="","","; PS1:"&amp;M623)&amp;IF(N623="","","; AQP4:"&amp;N623)&amp;IF(O623="","","; CAG-EGFP:"&amp;O623),3,200)</f>
        <v>CAG-EGFP:-</v>
      </c>
      <c r="Q623" s="8" t="s">
        <v>34</v>
      </c>
      <c r="R623" s="8"/>
      <c r="S623" s="8"/>
      <c r="T623" s="8"/>
    </row>
    <row r="624" customFormat="false" ht="15" hidden="false" customHeight="false" outlineLevel="0" collapsed="false">
      <c r="A624" s="7" t="s">
        <v>935</v>
      </c>
      <c r="B624" s="8" t="s">
        <v>119</v>
      </c>
      <c r="C624" s="8" t="n">
        <v>115</v>
      </c>
      <c r="D624" s="8"/>
      <c r="E624" s="8"/>
      <c r="F624" s="8" t="str">
        <f aca="true">IF(E624="","",ROUND((TODAY()-E624)/7,1))</f>
        <v/>
      </c>
      <c r="G624" s="8" t="s">
        <v>38</v>
      </c>
      <c r="H624" s="8"/>
      <c r="I624" s="8"/>
      <c r="J624" s="8"/>
      <c r="K624" s="8"/>
      <c r="L624" s="10"/>
      <c r="M624" s="10"/>
      <c r="N624" s="10"/>
      <c r="O624" s="10" t="s">
        <v>83</v>
      </c>
      <c r="P624" s="8" t="str">
        <f aca="false">MID(IF(L624="","","; APP:"&amp;L624)&amp;IF(M624="","","; PS1:"&amp;M624)&amp;IF(N624="","","; AQP4:"&amp;N624)&amp;IF(O624="","","; CAG-EGFP:"&amp;O624),3,200)</f>
        <v>CAG-EGFP:-</v>
      </c>
      <c r="Q624" s="8" t="s">
        <v>34</v>
      </c>
      <c r="R624" s="8"/>
      <c r="S624" s="8"/>
      <c r="T624" s="8"/>
    </row>
    <row r="625" customFormat="false" ht="15" hidden="false" customHeight="false" outlineLevel="0" collapsed="false">
      <c r="A625" s="7" t="s">
        <v>936</v>
      </c>
      <c r="B625" s="8" t="s">
        <v>119</v>
      </c>
      <c r="C625" s="8" t="n">
        <v>116</v>
      </c>
      <c r="D625" s="8"/>
      <c r="E625" s="8"/>
      <c r="F625" s="8" t="str">
        <f aca="true">IF(E625="","",ROUND((TODAY()-E625)/7,1))</f>
        <v/>
      </c>
      <c r="G625" s="8" t="s">
        <v>38</v>
      </c>
      <c r="H625" s="8"/>
      <c r="I625" s="8"/>
      <c r="J625" s="8"/>
      <c r="K625" s="8"/>
      <c r="L625" s="10"/>
      <c r="M625" s="10"/>
      <c r="N625" s="10"/>
      <c r="O625" s="10" t="s">
        <v>83</v>
      </c>
      <c r="P625" s="8" t="str">
        <f aca="false">MID(IF(L625="","","; APP:"&amp;L625)&amp;IF(M625="","","; PS1:"&amp;M625)&amp;IF(N625="","","; AQP4:"&amp;N625)&amp;IF(O625="","","; CAG-EGFP:"&amp;O625),3,200)</f>
        <v>CAG-EGFP:-</v>
      </c>
      <c r="Q625" s="8" t="s">
        <v>34</v>
      </c>
      <c r="R625" s="8"/>
      <c r="S625" s="8"/>
      <c r="T625" s="8"/>
    </row>
    <row r="626" customFormat="false" ht="15" hidden="false" customHeight="false" outlineLevel="0" collapsed="false">
      <c r="A626" s="7" t="s">
        <v>937</v>
      </c>
      <c r="B626" s="8" t="s">
        <v>119</v>
      </c>
      <c r="C626" s="8" t="n">
        <v>117</v>
      </c>
      <c r="D626" s="8"/>
      <c r="E626" s="8"/>
      <c r="F626" s="8" t="str">
        <f aca="true">IF(E626="","",ROUND((TODAY()-E626)/7,1))</f>
        <v/>
      </c>
      <c r="G626" s="8" t="s">
        <v>38</v>
      </c>
      <c r="H626" s="8"/>
      <c r="I626" s="8"/>
      <c r="J626" s="8"/>
      <c r="K626" s="8"/>
      <c r="L626" s="10"/>
      <c r="M626" s="10"/>
      <c r="N626" s="10"/>
      <c r="O626" s="10" t="s">
        <v>83</v>
      </c>
      <c r="P626" s="8" t="str">
        <f aca="false">MID(IF(L626="","","; APP:"&amp;L626)&amp;IF(M626="","","; PS1:"&amp;M626)&amp;IF(N626="","","; AQP4:"&amp;N626)&amp;IF(O626="","","; CAG-EGFP:"&amp;O626),3,200)</f>
        <v>CAG-EGFP:-</v>
      </c>
      <c r="Q626" s="8" t="s">
        <v>34</v>
      </c>
      <c r="R626" s="8"/>
      <c r="S626" s="8"/>
      <c r="T626" s="8"/>
    </row>
    <row r="627" customFormat="false" ht="15" hidden="false" customHeight="false" outlineLevel="0" collapsed="false">
      <c r="A627" s="7" t="s">
        <v>938</v>
      </c>
      <c r="B627" s="8" t="s">
        <v>119</v>
      </c>
      <c r="C627" s="8" t="n">
        <v>118</v>
      </c>
      <c r="D627" s="8"/>
      <c r="E627" s="8"/>
      <c r="F627" s="8" t="str">
        <f aca="true">IF(E627="","",ROUND((TODAY()-E627)/7,1))</f>
        <v/>
      </c>
      <c r="G627" s="8" t="s">
        <v>38</v>
      </c>
      <c r="H627" s="8"/>
      <c r="I627" s="8"/>
      <c r="J627" s="8"/>
      <c r="K627" s="8"/>
      <c r="L627" s="10"/>
      <c r="M627" s="10"/>
      <c r="N627" s="10"/>
      <c r="O627" s="10" t="s">
        <v>83</v>
      </c>
      <c r="P627" s="8" t="str">
        <f aca="false">MID(IF(L627="","","; APP:"&amp;L627)&amp;IF(M627="","","; PS1:"&amp;M627)&amp;IF(N627="","","; AQP4:"&amp;N627)&amp;IF(O627="","","; CAG-EGFP:"&amp;O627),3,200)</f>
        <v>CAG-EGFP:-</v>
      </c>
      <c r="Q627" s="8" t="s">
        <v>34</v>
      </c>
      <c r="R627" s="8"/>
      <c r="S627" s="8"/>
      <c r="T627" s="8"/>
    </row>
    <row r="628" customFormat="false" ht="15" hidden="false" customHeight="false" outlineLevel="0" collapsed="false">
      <c r="A628" s="7" t="s">
        <v>939</v>
      </c>
      <c r="B628" s="8" t="s">
        <v>119</v>
      </c>
      <c r="C628" s="8" t="n">
        <v>119</v>
      </c>
      <c r="D628" s="8"/>
      <c r="E628" s="8"/>
      <c r="F628" s="8" t="str">
        <f aca="true">IF(E628="","",ROUND((TODAY()-E628)/7,1))</f>
        <v/>
      </c>
      <c r="G628" s="8" t="s">
        <v>38</v>
      </c>
      <c r="H628" s="8"/>
      <c r="I628" s="8"/>
      <c r="J628" s="8"/>
      <c r="K628" s="8"/>
      <c r="L628" s="10"/>
      <c r="M628" s="10"/>
      <c r="N628" s="10"/>
      <c r="O628" s="10" t="s">
        <v>83</v>
      </c>
      <c r="P628" s="8" t="str">
        <f aca="false">MID(IF(L628="","","; APP:"&amp;L628)&amp;IF(M628="","","; PS1:"&amp;M628)&amp;IF(N628="","","; AQP4:"&amp;N628)&amp;IF(O628="","","; CAG-EGFP:"&amp;O628),3,200)</f>
        <v>CAG-EGFP:-</v>
      </c>
      <c r="Q628" s="8" t="s">
        <v>34</v>
      </c>
      <c r="R628" s="8"/>
      <c r="S628" s="8"/>
      <c r="T628" s="8"/>
    </row>
    <row r="629" customFormat="false" ht="15" hidden="false" customHeight="false" outlineLevel="0" collapsed="false">
      <c r="A629" s="7" t="s">
        <v>940</v>
      </c>
      <c r="B629" s="8" t="s">
        <v>119</v>
      </c>
      <c r="C629" s="8" t="n">
        <v>120</v>
      </c>
      <c r="D629" s="8"/>
      <c r="E629" s="8"/>
      <c r="F629" s="8" t="str">
        <f aca="true">IF(E629="","",ROUND((TODAY()-E629)/7,1))</f>
        <v/>
      </c>
      <c r="G629" s="8" t="s">
        <v>38</v>
      </c>
      <c r="H629" s="8"/>
      <c r="I629" s="8"/>
      <c r="J629" s="8"/>
      <c r="K629" s="8"/>
      <c r="L629" s="10"/>
      <c r="M629" s="10"/>
      <c r="N629" s="10"/>
      <c r="O629" s="10" t="s">
        <v>83</v>
      </c>
      <c r="P629" s="8" t="str">
        <f aca="false">MID(IF(L629="","","; APP:"&amp;L629)&amp;IF(M629="","","; PS1:"&amp;M629)&amp;IF(N629="","","; AQP4:"&amp;N629)&amp;IF(O629="","","; CAG-EGFP:"&amp;O629),3,200)</f>
        <v>CAG-EGFP:-</v>
      </c>
      <c r="Q629" s="8" t="s">
        <v>34</v>
      </c>
      <c r="R629" s="8"/>
      <c r="S629" s="8"/>
      <c r="T629" s="8"/>
    </row>
    <row r="630" customFormat="false" ht="15" hidden="false" customHeight="false" outlineLevel="0" collapsed="false">
      <c r="A630" s="7" t="s">
        <v>941</v>
      </c>
      <c r="B630" s="8" t="s">
        <v>119</v>
      </c>
      <c r="C630" s="8" t="n">
        <v>121</v>
      </c>
      <c r="D630" s="8"/>
      <c r="E630" s="8"/>
      <c r="F630" s="8" t="str">
        <f aca="true">IF(E630="","",ROUND((TODAY()-E630)/7,1))</f>
        <v/>
      </c>
      <c r="G630" s="8" t="s">
        <v>38</v>
      </c>
      <c r="H630" s="8"/>
      <c r="I630" s="8"/>
      <c r="J630" s="8"/>
      <c r="K630" s="8"/>
      <c r="L630" s="10"/>
      <c r="M630" s="10"/>
      <c r="N630" s="10"/>
      <c r="O630" s="10" t="s">
        <v>83</v>
      </c>
      <c r="P630" s="8" t="str">
        <f aca="false">MID(IF(L630="","","; APP:"&amp;L630)&amp;IF(M630="","","; PS1:"&amp;M630)&amp;IF(N630="","","; AQP4:"&amp;N630)&amp;IF(O630="","","; CAG-EGFP:"&amp;O630),3,200)</f>
        <v>CAG-EGFP:-</v>
      </c>
      <c r="Q630" s="8" t="s">
        <v>34</v>
      </c>
      <c r="R630" s="8"/>
      <c r="S630" s="8"/>
      <c r="T630" s="8"/>
    </row>
    <row r="631" customFormat="false" ht="17.15" hidden="false" customHeight="false" outlineLevel="0" collapsed="false">
      <c r="A631" s="7" t="s">
        <v>942</v>
      </c>
      <c r="B631" s="8" t="s">
        <v>104</v>
      </c>
      <c r="C631" s="8" t="n">
        <v>118</v>
      </c>
      <c r="D631" s="8" t="s">
        <v>33</v>
      </c>
      <c r="E631" s="9" t="n">
        <v>45726</v>
      </c>
      <c r="F631" s="8" t="n">
        <f aca="true">IF(E631="","",ROUND((TODAY()-E631)/7,1))</f>
        <v>65.9</v>
      </c>
      <c r="G631" s="8" t="s">
        <v>52</v>
      </c>
      <c r="H631" s="8"/>
      <c r="I631" s="8" t="s">
        <v>192</v>
      </c>
      <c r="J631" s="8" t="s">
        <v>192</v>
      </c>
      <c r="K631" s="8" t="n">
        <v>1</v>
      </c>
      <c r="L631" s="10"/>
      <c r="M631" s="10"/>
      <c r="N631" s="10"/>
      <c r="O631" s="10"/>
      <c r="P631" s="8" t="str">
        <f aca="false">MID(IF(L631="","","; APP:"&amp;L631)&amp;IF(M631="","","; PS1:"&amp;M631)&amp;IF(N631="","","; AQP4:"&amp;N631)&amp;IF(O631="","","; CAG-EGFP:"&amp;O631),3,200)</f>
        <v/>
      </c>
      <c r="Q631" s="8" t="s">
        <v>82</v>
      </c>
      <c r="R631" s="8" t="s">
        <v>88</v>
      </c>
      <c r="S631" s="8"/>
      <c r="T631" s="11" t="s">
        <v>943</v>
      </c>
    </row>
    <row r="632" customFormat="false" ht="17.15" hidden="false" customHeight="false" outlineLevel="0" collapsed="false">
      <c r="A632" s="7" t="s">
        <v>944</v>
      </c>
      <c r="B632" s="8" t="s">
        <v>104</v>
      </c>
      <c r="C632" s="8" t="n">
        <v>119</v>
      </c>
      <c r="D632" s="8" t="s">
        <v>33</v>
      </c>
      <c r="E632" s="9" t="n">
        <v>45726</v>
      </c>
      <c r="F632" s="8" t="n">
        <f aca="true">IF(E632="","",ROUND((TODAY()-E632)/7,1))</f>
        <v>65.9</v>
      </c>
      <c r="G632" s="8" t="s">
        <v>52</v>
      </c>
      <c r="H632" s="8"/>
      <c r="I632" s="8" t="s">
        <v>192</v>
      </c>
      <c r="J632" s="8" t="s">
        <v>192</v>
      </c>
      <c r="K632" s="8" t="n">
        <v>1</v>
      </c>
      <c r="L632" s="10"/>
      <c r="M632" s="10"/>
      <c r="N632" s="10"/>
      <c r="O632" s="10"/>
      <c r="P632" s="8" t="str">
        <f aca="false">MID(IF(L632="","","; APP:"&amp;L632)&amp;IF(M632="","","; PS1:"&amp;M632)&amp;IF(N632="","","; AQP4:"&amp;N632)&amp;IF(O632="","","; CAG-EGFP:"&amp;O632),3,200)</f>
        <v/>
      </c>
      <c r="Q632" s="8" t="s">
        <v>82</v>
      </c>
      <c r="R632" s="8" t="s">
        <v>88</v>
      </c>
      <c r="S632" s="8"/>
      <c r="T632" s="11" t="s">
        <v>943</v>
      </c>
    </row>
    <row r="633" customFormat="false" ht="17.15" hidden="false" customHeight="false" outlineLevel="0" collapsed="false">
      <c r="A633" s="7" t="s">
        <v>945</v>
      </c>
      <c r="B633" s="8" t="s">
        <v>104</v>
      </c>
      <c r="C633" s="8" t="n">
        <v>120</v>
      </c>
      <c r="D633" s="8" t="s">
        <v>33</v>
      </c>
      <c r="E633" s="9" t="n">
        <v>45726</v>
      </c>
      <c r="F633" s="8" t="n">
        <f aca="true">IF(E633="","",ROUND((TODAY()-E633)/7,1))</f>
        <v>65.9</v>
      </c>
      <c r="G633" s="8" t="s">
        <v>52</v>
      </c>
      <c r="H633" s="8"/>
      <c r="I633" s="8" t="s">
        <v>192</v>
      </c>
      <c r="J633" s="8" t="s">
        <v>192</v>
      </c>
      <c r="K633" s="8" t="n">
        <v>1</v>
      </c>
      <c r="L633" s="10"/>
      <c r="M633" s="10"/>
      <c r="N633" s="10"/>
      <c r="O633" s="10"/>
      <c r="P633" s="8" t="str">
        <f aca="false">MID(IF(L633="","","; APP:"&amp;L633)&amp;IF(M633="","","; PS1:"&amp;M633)&amp;IF(N633="","","; AQP4:"&amp;N633)&amp;IF(O633="","","; CAG-EGFP:"&amp;O633),3,200)</f>
        <v/>
      </c>
      <c r="Q633" s="8" t="s">
        <v>82</v>
      </c>
      <c r="R633" s="8" t="s">
        <v>88</v>
      </c>
      <c r="S633" s="8"/>
      <c r="T633" s="11" t="s">
        <v>943</v>
      </c>
    </row>
    <row r="634" customFormat="false" ht="17.15" hidden="false" customHeight="false" outlineLevel="0" collapsed="false">
      <c r="A634" s="7" t="s">
        <v>946</v>
      </c>
      <c r="B634" s="8" t="s">
        <v>104</v>
      </c>
      <c r="C634" s="8" t="n">
        <v>121</v>
      </c>
      <c r="D634" s="8" t="s">
        <v>33</v>
      </c>
      <c r="E634" s="9" t="n">
        <v>45726</v>
      </c>
      <c r="F634" s="8" t="n">
        <f aca="true">IF(E634="","",ROUND((TODAY()-E634)/7,1))</f>
        <v>65.9</v>
      </c>
      <c r="G634" s="8" t="s">
        <v>52</v>
      </c>
      <c r="H634" s="8"/>
      <c r="I634" s="8" t="s">
        <v>192</v>
      </c>
      <c r="J634" s="8" t="s">
        <v>192</v>
      </c>
      <c r="K634" s="8" t="n">
        <v>1</v>
      </c>
      <c r="L634" s="10"/>
      <c r="M634" s="10"/>
      <c r="N634" s="10"/>
      <c r="O634" s="10"/>
      <c r="P634" s="8" t="str">
        <f aca="false">MID(IF(L634="","","; APP:"&amp;L634)&amp;IF(M634="","","; PS1:"&amp;M634)&amp;IF(N634="","","; AQP4:"&amp;N634)&amp;IF(O634="","","; CAG-EGFP:"&amp;O634),3,200)</f>
        <v/>
      </c>
      <c r="Q634" s="8" t="s">
        <v>82</v>
      </c>
      <c r="R634" s="8" t="s">
        <v>88</v>
      </c>
      <c r="S634" s="8"/>
      <c r="T634" s="11" t="s">
        <v>943</v>
      </c>
    </row>
    <row r="635" customFormat="false" ht="17.15" hidden="false" customHeight="false" outlineLevel="0" collapsed="false">
      <c r="A635" s="7" t="s">
        <v>947</v>
      </c>
      <c r="B635" s="8" t="s">
        <v>104</v>
      </c>
      <c r="C635" s="8" t="n">
        <v>122</v>
      </c>
      <c r="D635" s="8" t="s">
        <v>33</v>
      </c>
      <c r="E635" s="9" t="n">
        <v>45726</v>
      </c>
      <c r="F635" s="8" t="n">
        <f aca="true">IF(E635="","",ROUND((TODAY()-E635)/7,1))</f>
        <v>65.9</v>
      </c>
      <c r="G635" s="8" t="s">
        <v>52</v>
      </c>
      <c r="H635" s="8"/>
      <c r="I635" s="8" t="s">
        <v>192</v>
      </c>
      <c r="J635" s="8" t="s">
        <v>192</v>
      </c>
      <c r="K635" s="8" t="n">
        <v>1</v>
      </c>
      <c r="L635" s="10"/>
      <c r="M635" s="10"/>
      <c r="N635" s="10"/>
      <c r="O635" s="10"/>
      <c r="P635" s="8" t="str">
        <f aca="false">MID(IF(L635="","","; APP:"&amp;L635)&amp;IF(M635="","","; PS1:"&amp;M635)&amp;IF(N635="","","; AQP4:"&amp;N635)&amp;IF(O635="","","; CAG-EGFP:"&amp;O635),3,200)</f>
        <v/>
      </c>
      <c r="Q635" s="8" t="s">
        <v>82</v>
      </c>
      <c r="R635" s="8" t="s">
        <v>88</v>
      </c>
      <c r="S635" s="8"/>
      <c r="T635" s="11" t="s">
        <v>943</v>
      </c>
    </row>
    <row r="636" customFormat="false" ht="17.15" hidden="false" customHeight="false" outlineLevel="0" collapsed="false">
      <c r="A636" s="7" t="s">
        <v>948</v>
      </c>
      <c r="B636" s="8" t="s">
        <v>104</v>
      </c>
      <c r="C636" s="8" t="n">
        <v>123</v>
      </c>
      <c r="D636" s="8" t="s">
        <v>33</v>
      </c>
      <c r="E636" s="9" t="n">
        <v>45726</v>
      </c>
      <c r="F636" s="8" t="n">
        <f aca="true">IF(E636="","",ROUND((TODAY()-E636)/7,1))</f>
        <v>65.9</v>
      </c>
      <c r="G636" s="8" t="s">
        <v>52</v>
      </c>
      <c r="H636" s="8"/>
      <c r="I636" s="8" t="s">
        <v>192</v>
      </c>
      <c r="J636" s="8" t="s">
        <v>192</v>
      </c>
      <c r="K636" s="8" t="n">
        <v>1</v>
      </c>
      <c r="L636" s="10"/>
      <c r="M636" s="10"/>
      <c r="N636" s="10"/>
      <c r="O636" s="10"/>
      <c r="P636" s="8" t="str">
        <f aca="false">MID(IF(L636="","","; APP:"&amp;L636)&amp;IF(M636="","","; PS1:"&amp;M636)&amp;IF(N636="","","; AQP4:"&amp;N636)&amp;IF(O636="","","; CAG-EGFP:"&amp;O636),3,200)</f>
        <v/>
      </c>
      <c r="Q636" s="8" t="s">
        <v>82</v>
      </c>
      <c r="R636" s="8" t="s">
        <v>88</v>
      </c>
      <c r="S636" s="8"/>
      <c r="T636" s="11" t="s">
        <v>943</v>
      </c>
    </row>
    <row r="637" customFormat="false" ht="17.15" hidden="false" customHeight="false" outlineLevel="0" collapsed="false">
      <c r="A637" s="7" t="s">
        <v>949</v>
      </c>
      <c r="B637" s="8" t="s">
        <v>104</v>
      </c>
      <c r="C637" s="8" t="n">
        <v>124</v>
      </c>
      <c r="D637" s="8" t="s">
        <v>46</v>
      </c>
      <c r="E637" s="9" t="n">
        <v>45726</v>
      </c>
      <c r="F637" s="8" t="n">
        <f aca="true">IF(E637="","",ROUND((TODAY()-E637)/7,1))</f>
        <v>65.9</v>
      </c>
      <c r="G637" s="8" t="s">
        <v>52</v>
      </c>
      <c r="H637" s="8"/>
      <c r="I637" s="8" t="s">
        <v>192</v>
      </c>
      <c r="J637" s="8" t="s">
        <v>192</v>
      </c>
      <c r="K637" s="8" t="n">
        <v>1</v>
      </c>
      <c r="L637" s="10"/>
      <c r="M637" s="10"/>
      <c r="N637" s="10"/>
      <c r="O637" s="10"/>
      <c r="P637" s="8" t="str">
        <f aca="false">MID(IF(L637="","","; APP:"&amp;L637)&amp;IF(M637="","","; PS1:"&amp;M637)&amp;IF(N637="","","; AQP4:"&amp;N637)&amp;IF(O637="","","; CAG-EGFP:"&amp;O637),3,200)</f>
        <v/>
      </c>
      <c r="Q637" s="8" t="s">
        <v>82</v>
      </c>
      <c r="R637" s="8" t="s">
        <v>88</v>
      </c>
      <c r="S637" s="8"/>
      <c r="T637" s="11" t="s">
        <v>943</v>
      </c>
    </row>
    <row r="638" customFormat="false" ht="17.15" hidden="false" customHeight="false" outlineLevel="0" collapsed="false">
      <c r="A638" s="7" t="s">
        <v>950</v>
      </c>
      <c r="B638" s="8" t="s">
        <v>104</v>
      </c>
      <c r="C638" s="8" t="n">
        <v>125</v>
      </c>
      <c r="D638" s="8" t="s">
        <v>46</v>
      </c>
      <c r="E638" s="9" t="n">
        <v>45726</v>
      </c>
      <c r="F638" s="8" t="n">
        <f aca="true">IF(E638="","",ROUND((TODAY()-E638)/7,1))</f>
        <v>65.9</v>
      </c>
      <c r="G638" s="8" t="s">
        <v>52</v>
      </c>
      <c r="H638" s="8"/>
      <c r="I638" s="8" t="s">
        <v>192</v>
      </c>
      <c r="J638" s="8" t="s">
        <v>192</v>
      </c>
      <c r="K638" s="8" t="n">
        <v>1</v>
      </c>
      <c r="L638" s="10"/>
      <c r="M638" s="10"/>
      <c r="N638" s="10"/>
      <c r="O638" s="10"/>
      <c r="P638" s="8" t="str">
        <f aca="false">MID(IF(L638="","","; APP:"&amp;L638)&amp;IF(M638="","","; PS1:"&amp;M638)&amp;IF(N638="","","; AQP4:"&amp;N638)&amp;IF(O638="","","; CAG-EGFP:"&amp;O638),3,200)</f>
        <v/>
      </c>
      <c r="Q638" s="8" t="s">
        <v>82</v>
      </c>
      <c r="R638" s="8" t="s">
        <v>88</v>
      </c>
      <c r="S638" s="8"/>
      <c r="T638" s="11" t="s">
        <v>943</v>
      </c>
    </row>
    <row r="639" customFormat="false" ht="17.15" hidden="false" customHeight="false" outlineLevel="0" collapsed="false">
      <c r="A639" s="7" t="s">
        <v>951</v>
      </c>
      <c r="B639" s="8" t="s">
        <v>104</v>
      </c>
      <c r="C639" s="8" t="n">
        <v>126</v>
      </c>
      <c r="D639" s="8" t="s">
        <v>46</v>
      </c>
      <c r="E639" s="9" t="n">
        <v>45726</v>
      </c>
      <c r="F639" s="8" t="n">
        <f aca="true">IF(E639="","",ROUND((TODAY()-E639)/7,1))</f>
        <v>65.9</v>
      </c>
      <c r="G639" s="8" t="s">
        <v>52</v>
      </c>
      <c r="H639" s="8"/>
      <c r="I639" s="8" t="s">
        <v>192</v>
      </c>
      <c r="J639" s="8" t="s">
        <v>192</v>
      </c>
      <c r="K639" s="8" t="n">
        <v>1</v>
      </c>
      <c r="L639" s="10"/>
      <c r="M639" s="10"/>
      <c r="N639" s="10"/>
      <c r="O639" s="10"/>
      <c r="P639" s="8" t="str">
        <f aca="false">MID(IF(L639="","","; APP:"&amp;L639)&amp;IF(M639="","","; PS1:"&amp;M639)&amp;IF(N639="","","; AQP4:"&amp;N639)&amp;IF(O639="","","; CAG-EGFP:"&amp;O639),3,200)</f>
        <v/>
      </c>
      <c r="Q639" s="8" t="s">
        <v>82</v>
      </c>
      <c r="R639" s="8" t="s">
        <v>88</v>
      </c>
      <c r="S639" s="8"/>
      <c r="T639" s="11" t="s">
        <v>943</v>
      </c>
    </row>
    <row r="640" customFormat="false" ht="17.15" hidden="false" customHeight="false" outlineLevel="0" collapsed="false">
      <c r="A640" s="7" t="s">
        <v>952</v>
      </c>
      <c r="B640" s="8" t="s">
        <v>104</v>
      </c>
      <c r="C640" s="8" t="n">
        <v>127</v>
      </c>
      <c r="D640" s="8" t="s">
        <v>46</v>
      </c>
      <c r="E640" s="9" t="n">
        <v>45726</v>
      </c>
      <c r="F640" s="8" t="n">
        <f aca="true">IF(E640="","",ROUND((TODAY()-E640)/7,1))</f>
        <v>65.9</v>
      </c>
      <c r="G640" s="8" t="s">
        <v>52</v>
      </c>
      <c r="H640" s="8"/>
      <c r="I640" s="8" t="s">
        <v>192</v>
      </c>
      <c r="J640" s="8" t="s">
        <v>192</v>
      </c>
      <c r="K640" s="8" t="n">
        <v>1</v>
      </c>
      <c r="L640" s="10"/>
      <c r="M640" s="10"/>
      <c r="N640" s="10"/>
      <c r="O640" s="10"/>
      <c r="P640" s="8" t="str">
        <f aca="false">MID(IF(L640="","","; APP:"&amp;L640)&amp;IF(M640="","","; PS1:"&amp;M640)&amp;IF(N640="","","; AQP4:"&amp;N640)&amp;IF(O640="","","; CAG-EGFP:"&amp;O640),3,200)</f>
        <v/>
      </c>
      <c r="Q640" s="8" t="s">
        <v>82</v>
      </c>
      <c r="R640" s="8" t="s">
        <v>88</v>
      </c>
      <c r="S640" s="8"/>
      <c r="T640" s="11" t="s">
        <v>943</v>
      </c>
    </row>
    <row r="641" customFormat="false" ht="17.15" hidden="false" customHeight="false" outlineLevel="0" collapsed="false">
      <c r="A641" s="7" t="s">
        <v>953</v>
      </c>
      <c r="B641" s="8" t="s">
        <v>104</v>
      </c>
      <c r="C641" s="8" t="n">
        <v>128</v>
      </c>
      <c r="D641" s="8" t="s">
        <v>46</v>
      </c>
      <c r="E641" s="9" t="n">
        <v>45726</v>
      </c>
      <c r="F641" s="8" t="n">
        <f aca="true">IF(E641="","",ROUND((TODAY()-E641)/7,1))</f>
        <v>65.9</v>
      </c>
      <c r="G641" s="8" t="s">
        <v>52</v>
      </c>
      <c r="H641" s="8"/>
      <c r="I641" s="8" t="s">
        <v>192</v>
      </c>
      <c r="J641" s="8" t="s">
        <v>192</v>
      </c>
      <c r="K641" s="8" t="n">
        <v>1</v>
      </c>
      <c r="L641" s="10"/>
      <c r="M641" s="10"/>
      <c r="N641" s="10"/>
      <c r="O641" s="10"/>
      <c r="P641" s="8" t="str">
        <f aca="false">MID(IF(L641="","","; APP:"&amp;L641)&amp;IF(M641="","","; PS1:"&amp;M641)&amp;IF(N641="","","; AQP4:"&amp;N641)&amp;IF(O641="","","; CAG-EGFP:"&amp;O641),3,200)</f>
        <v/>
      </c>
      <c r="Q641" s="8" t="s">
        <v>82</v>
      </c>
      <c r="R641" s="8" t="s">
        <v>88</v>
      </c>
      <c r="S641" s="8"/>
      <c r="T641" s="11" t="s">
        <v>943</v>
      </c>
    </row>
    <row r="642" customFormat="false" ht="17.15" hidden="false" customHeight="false" outlineLevel="0" collapsed="false">
      <c r="A642" s="7" t="s">
        <v>954</v>
      </c>
      <c r="B642" s="8" t="s">
        <v>104</v>
      </c>
      <c r="C642" s="8" t="n">
        <v>129</v>
      </c>
      <c r="D642" s="8" t="s">
        <v>46</v>
      </c>
      <c r="E642" s="9" t="n">
        <v>45726</v>
      </c>
      <c r="F642" s="8" t="n">
        <f aca="true">IF(E642="","",ROUND((TODAY()-E642)/7,1))</f>
        <v>65.9</v>
      </c>
      <c r="G642" s="8" t="s">
        <v>52</v>
      </c>
      <c r="H642" s="8"/>
      <c r="I642" s="8" t="s">
        <v>192</v>
      </c>
      <c r="J642" s="8" t="s">
        <v>192</v>
      </c>
      <c r="K642" s="8" t="n">
        <v>1</v>
      </c>
      <c r="L642" s="10"/>
      <c r="M642" s="10"/>
      <c r="N642" s="10"/>
      <c r="O642" s="10"/>
      <c r="P642" s="8" t="str">
        <f aca="false">MID(IF(L642="","","; APP:"&amp;L642)&amp;IF(M642="","","; PS1:"&amp;M642)&amp;IF(N642="","","; AQP4:"&amp;N642)&amp;IF(O642="","","; CAG-EGFP:"&amp;O642),3,200)</f>
        <v/>
      </c>
      <c r="Q642" s="8" t="s">
        <v>82</v>
      </c>
      <c r="R642" s="8" t="s">
        <v>88</v>
      </c>
      <c r="S642" s="8"/>
      <c r="T642" s="11" t="s">
        <v>943</v>
      </c>
    </row>
    <row r="643" customFormat="false" ht="17.15" hidden="false" customHeight="false" outlineLevel="0" collapsed="false">
      <c r="A643" s="7" t="s">
        <v>955</v>
      </c>
      <c r="B643" s="8" t="s">
        <v>104</v>
      </c>
      <c r="C643" s="8" t="n">
        <v>130</v>
      </c>
      <c r="D643" s="8" t="s">
        <v>46</v>
      </c>
      <c r="E643" s="9" t="n">
        <v>45853</v>
      </c>
      <c r="F643" s="8" t="n">
        <f aca="true">IF(E643="","",ROUND((TODAY()-E643)/7,1))</f>
        <v>47.7</v>
      </c>
      <c r="G643" s="8" t="s">
        <v>52</v>
      </c>
      <c r="H643" s="8"/>
      <c r="I643" s="8" t="s">
        <v>192</v>
      </c>
      <c r="J643" s="8" t="s">
        <v>192</v>
      </c>
      <c r="K643" s="8" t="n">
        <v>1</v>
      </c>
      <c r="L643" s="10"/>
      <c r="M643" s="10"/>
      <c r="N643" s="10"/>
      <c r="O643" s="10"/>
      <c r="P643" s="8" t="str">
        <f aca="false">MID(IF(L643="","","; APP:"&amp;L643)&amp;IF(M643="","","; PS1:"&amp;M643)&amp;IF(N643="","","; AQP4:"&amp;N643)&amp;IF(O643="","","; CAG-EGFP:"&amp;O643),3,200)</f>
        <v/>
      </c>
      <c r="Q643" s="8" t="s">
        <v>82</v>
      </c>
      <c r="R643" s="8" t="s">
        <v>88</v>
      </c>
      <c r="S643" s="8"/>
      <c r="T643" s="11" t="s">
        <v>956</v>
      </c>
    </row>
    <row r="644" customFormat="false" ht="17.15" hidden="false" customHeight="false" outlineLevel="0" collapsed="false">
      <c r="A644" s="7" t="s">
        <v>957</v>
      </c>
      <c r="B644" s="8" t="s">
        <v>104</v>
      </c>
      <c r="C644" s="8" t="n">
        <v>131</v>
      </c>
      <c r="D644" s="8" t="s">
        <v>46</v>
      </c>
      <c r="E644" s="9" t="n">
        <v>45853</v>
      </c>
      <c r="F644" s="8" t="n">
        <f aca="true">IF(E644="","",ROUND((TODAY()-E644)/7,1))</f>
        <v>47.7</v>
      </c>
      <c r="G644" s="8" t="s">
        <v>52</v>
      </c>
      <c r="H644" s="8"/>
      <c r="I644" s="8" t="s">
        <v>192</v>
      </c>
      <c r="J644" s="8" t="s">
        <v>192</v>
      </c>
      <c r="K644" s="8" t="n">
        <v>1</v>
      </c>
      <c r="L644" s="10"/>
      <c r="M644" s="10"/>
      <c r="N644" s="10"/>
      <c r="O644" s="10"/>
      <c r="P644" s="8" t="str">
        <f aca="false">MID(IF(L644="","","; APP:"&amp;L644)&amp;IF(M644="","","; PS1:"&amp;M644)&amp;IF(N644="","","; AQP4:"&amp;N644)&amp;IF(O644="","","; CAG-EGFP:"&amp;O644),3,200)</f>
        <v/>
      </c>
      <c r="Q644" s="8" t="s">
        <v>82</v>
      </c>
      <c r="R644" s="8" t="s">
        <v>88</v>
      </c>
      <c r="S644" s="8"/>
      <c r="T644" s="11" t="s">
        <v>956</v>
      </c>
    </row>
    <row r="645" customFormat="false" ht="17.15" hidden="false" customHeight="false" outlineLevel="0" collapsed="false">
      <c r="A645" s="7" t="s">
        <v>958</v>
      </c>
      <c r="B645" s="8" t="s">
        <v>104</v>
      </c>
      <c r="C645" s="8" t="n">
        <v>132</v>
      </c>
      <c r="D645" s="8" t="s">
        <v>46</v>
      </c>
      <c r="E645" s="9" t="n">
        <v>45853</v>
      </c>
      <c r="F645" s="8" t="n">
        <f aca="true">IF(E645="","",ROUND((TODAY()-E645)/7,1))</f>
        <v>47.7</v>
      </c>
      <c r="G645" s="8" t="s">
        <v>52</v>
      </c>
      <c r="H645" s="8"/>
      <c r="I645" s="8" t="s">
        <v>192</v>
      </c>
      <c r="J645" s="8" t="s">
        <v>192</v>
      </c>
      <c r="K645" s="8" t="n">
        <v>1</v>
      </c>
      <c r="L645" s="10"/>
      <c r="M645" s="10"/>
      <c r="N645" s="10"/>
      <c r="O645" s="10"/>
      <c r="P645" s="8" t="str">
        <f aca="false">MID(IF(L645="","","; APP:"&amp;L645)&amp;IF(M645="","","; PS1:"&amp;M645)&amp;IF(N645="","","; AQP4:"&amp;N645)&amp;IF(O645="","","; CAG-EGFP:"&amp;O645),3,200)</f>
        <v/>
      </c>
      <c r="Q645" s="8" t="s">
        <v>82</v>
      </c>
      <c r="R645" s="8" t="s">
        <v>88</v>
      </c>
      <c r="S645" s="8"/>
      <c r="T645" s="11" t="s">
        <v>956</v>
      </c>
    </row>
    <row r="646" customFormat="false" ht="17.15" hidden="false" customHeight="false" outlineLevel="0" collapsed="false">
      <c r="A646" s="7" t="s">
        <v>959</v>
      </c>
      <c r="B646" s="8" t="s">
        <v>104</v>
      </c>
      <c r="C646" s="8" t="n">
        <v>133</v>
      </c>
      <c r="D646" s="8" t="s">
        <v>46</v>
      </c>
      <c r="E646" s="9" t="n">
        <v>45853</v>
      </c>
      <c r="F646" s="8" t="n">
        <f aca="true">IF(E646="","",ROUND((TODAY()-E646)/7,1))</f>
        <v>47.7</v>
      </c>
      <c r="G646" s="8" t="s">
        <v>52</v>
      </c>
      <c r="H646" s="8"/>
      <c r="I646" s="8" t="s">
        <v>192</v>
      </c>
      <c r="J646" s="8" t="s">
        <v>192</v>
      </c>
      <c r="K646" s="8" t="n">
        <v>1</v>
      </c>
      <c r="L646" s="10"/>
      <c r="M646" s="10"/>
      <c r="N646" s="10"/>
      <c r="O646" s="10"/>
      <c r="P646" s="8" t="str">
        <f aca="false">MID(IF(L646="","","; APP:"&amp;L646)&amp;IF(M646="","","; PS1:"&amp;M646)&amp;IF(N646="","","; AQP4:"&amp;N646)&amp;IF(O646="","","; CAG-EGFP:"&amp;O646),3,200)</f>
        <v/>
      </c>
      <c r="Q646" s="8" t="s">
        <v>82</v>
      </c>
      <c r="R646" s="8" t="s">
        <v>88</v>
      </c>
      <c r="S646" s="8"/>
      <c r="T646" s="11" t="s">
        <v>956</v>
      </c>
    </row>
    <row r="647" customFormat="false" ht="17.15" hidden="false" customHeight="false" outlineLevel="0" collapsed="false">
      <c r="A647" s="7" t="s">
        <v>960</v>
      </c>
      <c r="B647" s="8" t="s">
        <v>104</v>
      </c>
      <c r="C647" s="8" t="n">
        <v>134</v>
      </c>
      <c r="D647" s="8" t="s">
        <v>46</v>
      </c>
      <c r="E647" s="9" t="n">
        <v>45853</v>
      </c>
      <c r="F647" s="8" t="n">
        <f aca="true">IF(E647="","",ROUND((TODAY()-E647)/7,1))</f>
        <v>47.7</v>
      </c>
      <c r="G647" s="8" t="s">
        <v>52</v>
      </c>
      <c r="H647" s="8"/>
      <c r="I647" s="8" t="s">
        <v>192</v>
      </c>
      <c r="J647" s="8" t="s">
        <v>192</v>
      </c>
      <c r="K647" s="8" t="n">
        <v>1</v>
      </c>
      <c r="L647" s="10"/>
      <c r="M647" s="10"/>
      <c r="N647" s="10"/>
      <c r="O647" s="10"/>
      <c r="P647" s="8" t="str">
        <f aca="false">MID(IF(L647="","","; APP:"&amp;L647)&amp;IF(M647="","","; PS1:"&amp;M647)&amp;IF(N647="","","; AQP4:"&amp;N647)&amp;IF(O647="","","; CAG-EGFP:"&amp;O647),3,200)</f>
        <v/>
      </c>
      <c r="Q647" s="8" t="s">
        <v>82</v>
      </c>
      <c r="R647" s="8" t="s">
        <v>88</v>
      </c>
      <c r="S647" s="8"/>
      <c r="T647" s="11" t="s">
        <v>956</v>
      </c>
    </row>
    <row r="648" customFormat="false" ht="17.15" hidden="false" customHeight="false" outlineLevel="0" collapsed="false">
      <c r="A648" s="7" t="s">
        <v>961</v>
      </c>
      <c r="B648" s="8" t="s">
        <v>104</v>
      </c>
      <c r="C648" s="8" t="n">
        <v>135</v>
      </c>
      <c r="D648" s="8" t="s">
        <v>33</v>
      </c>
      <c r="E648" s="9" t="n">
        <v>45915</v>
      </c>
      <c r="F648" s="8" t="n">
        <f aca="true">IF(E648="","",ROUND((TODAY()-E648)/7,1))</f>
        <v>38.9</v>
      </c>
      <c r="G648" s="8" t="s">
        <v>52</v>
      </c>
      <c r="H648" s="8"/>
      <c r="I648" s="8" t="s">
        <v>192</v>
      </c>
      <c r="J648" s="8" t="s">
        <v>192</v>
      </c>
      <c r="K648" s="8" t="n">
        <v>1</v>
      </c>
      <c r="L648" s="10"/>
      <c r="M648" s="10"/>
      <c r="N648" s="10"/>
      <c r="O648" s="10"/>
      <c r="P648" s="8" t="str">
        <f aca="false">MID(IF(L648="","","; APP:"&amp;L648)&amp;IF(M648="","","; PS1:"&amp;M648)&amp;IF(N648="","","; AQP4:"&amp;N648)&amp;IF(O648="","","; CAG-EGFP:"&amp;O648),3,200)</f>
        <v/>
      </c>
      <c r="Q648" s="8" t="s">
        <v>82</v>
      </c>
      <c r="R648" s="8" t="s">
        <v>88</v>
      </c>
      <c r="S648" s="8"/>
      <c r="T648" s="11" t="s">
        <v>962</v>
      </c>
    </row>
    <row r="649" customFormat="false" ht="17.15" hidden="false" customHeight="false" outlineLevel="0" collapsed="false">
      <c r="A649" s="7" t="s">
        <v>963</v>
      </c>
      <c r="B649" s="8" t="s">
        <v>104</v>
      </c>
      <c r="C649" s="8" t="n">
        <v>136</v>
      </c>
      <c r="D649" s="8" t="s">
        <v>33</v>
      </c>
      <c r="E649" s="9" t="n">
        <v>45915</v>
      </c>
      <c r="F649" s="8" t="n">
        <f aca="true">IF(E649="","",ROUND((TODAY()-E649)/7,1))</f>
        <v>38.9</v>
      </c>
      <c r="G649" s="8" t="s">
        <v>52</v>
      </c>
      <c r="H649" s="8"/>
      <c r="I649" s="8" t="s">
        <v>192</v>
      </c>
      <c r="J649" s="8" t="s">
        <v>192</v>
      </c>
      <c r="K649" s="8" t="n">
        <v>1</v>
      </c>
      <c r="L649" s="10"/>
      <c r="M649" s="10"/>
      <c r="N649" s="10"/>
      <c r="O649" s="10"/>
      <c r="P649" s="8" t="str">
        <f aca="false">MID(IF(L649="","","; APP:"&amp;L649)&amp;IF(M649="","","; PS1:"&amp;M649)&amp;IF(N649="","","; AQP4:"&amp;N649)&amp;IF(O649="","","; CAG-EGFP:"&amp;O649),3,200)</f>
        <v/>
      </c>
      <c r="Q649" s="8" t="s">
        <v>82</v>
      </c>
      <c r="R649" s="8" t="s">
        <v>88</v>
      </c>
      <c r="S649" s="8"/>
      <c r="T649" s="11" t="s">
        <v>964</v>
      </c>
    </row>
    <row r="650" customFormat="false" ht="17.15" hidden="false" customHeight="false" outlineLevel="0" collapsed="false">
      <c r="A650" s="7" t="s">
        <v>965</v>
      </c>
      <c r="B650" s="8" t="s">
        <v>104</v>
      </c>
      <c r="C650" s="8" t="n">
        <v>137</v>
      </c>
      <c r="D650" s="8" t="s">
        <v>33</v>
      </c>
      <c r="E650" s="9" t="n">
        <v>45915</v>
      </c>
      <c r="F650" s="8" t="n">
        <f aca="true">IF(E650="","",ROUND((TODAY()-E650)/7,1))</f>
        <v>38.9</v>
      </c>
      <c r="G650" s="8" t="s">
        <v>52</v>
      </c>
      <c r="H650" s="8"/>
      <c r="I650" s="8" t="s">
        <v>192</v>
      </c>
      <c r="J650" s="8" t="s">
        <v>192</v>
      </c>
      <c r="K650" s="8" t="n">
        <v>1</v>
      </c>
      <c r="L650" s="10"/>
      <c r="M650" s="10"/>
      <c r="N650" s="10"/>
      <c r="O650" s="10"/>
      <c r="P650" s="8" t="str">
        <f aca="false">MID(IF(L650="","","; APP:"&amp;L650)&amp;IF(M650="","","; PS1:"&amp;M650)&amp;IF(N650="","","; AQP4:"&amp;N650)&amp;IF(O650="","","; CAG-EGFP:"&amp;O650),3,200)</f>
        <v/>
      </c>
      <c r="Q650" s="8" t="s">
        <v>82</v>
      </c>
      <c r="R650" s="8" t="s">
        <v>88</v>
      </c>
      <c r="S650" s="8"/>
      <c r="T650" s="11" t="s">
        <v>966</v>
      </c>
    </row>
    <row r="651" customFormat="false" ht="17.15" hidden="false" customHeight="false" outlineLevel="0" collapsed="false">
      <c r="A651" s="7" t="s">
        <v>967</v>
      </c>
      <c r="B651" s="8" t="s">
        <v>104</v>
      </c>
      <c r="C651" s="8" t="n">
        <v>138</v>
      </c>
      <c r="D651" s="8" t="s">
        <v>33</v>
      </c>
      <c r="E651" s="9" t="n">
        <v>45915</v>
      </c>
      <c r="F651" s="8" t="n">
        <f aca="true">IF(E651="","",ROUND((TODAY()-E651)/7,1))</f>
        <v>38.9</v>
      </c>
      <c r="G651" s="8" t="s">
        <v>52</v>
      </c>
      <c r="H651" s="8"/>
      <c r="I651" s="8" t="s">
        <v>192</v>
      </c>
      <c r="J651" s="8" t="s">
        <v>192</v>
      </c>
      <c r="K651" s="8" t="n">
        <v>1</v>
      </c>
      <c r="L651" s="10"/>
      <c r="M651" s="10"/>
      <c r="N651" s="10"/>
      <c r="O651" s="10"/>
      <c r="P651" s="8" t="str">
        <f aca="false">MID(IF(L651="","","; APP:"&amp;L651)&amp;IF(M651="","","; PS1:"&amp;M651)&amp;IF(N651="","","; AQP4:"&amp;N651)&amp;IF(O651="","","; CAG-EGFP:"&amp;O651),3,200)</f>
        <v/>
      </c>
      <c r="Q651" s="8" t="s">
        <v>82</v>
      </c>
      <c r="R651" s="8" t="s">
        <v>88</v>
      </c>
      <c r="S651" s="8"/>
      <c r="T651" s="11" t="s">
        <v>968</v>
      </c>
    </row>
    <row r="652" customFormat="false" ht="17.15" hidden="false" customHeight="false" outlineLevel="0" collapsed="false">
      <c r="A652" s="7" t="s">
        <v>969</v>
      </c>
      <c r="B652" s="8" t="s">
        <v>104</v>
      </c>
      <c r="C652" s="8" t="n">
        <v>139</v>
      </c>
      <c r="D652" s="8" t="s">
        <v>33</v>
      </c>
      <c r="E652" s="9" t="n">
        <v>45915</v>
      </c>
      <c r="F652" s="8" t="n">
        <f aca="true">IF(E652="","",ROUND((TODAY()-E652)/7,1))</f>
        <v>38.9</v>
      </c>
      <c r="G652" s="8" t="s">
        <v>52</v>
      </c>
      <c r="H652" s="8"/>
      <c r="I652" s="8" t="s">
        <v>192</v>
      </c>
      <c r="J652" s="8" t="s">
        <v>192</v>
      </c>
      <c r="K652" s="8" t="n">
        <v>1</v>
      </c>
      <c r="L652" s="10"/>
      <c r="M652" s="10"/>
      <c r="N652" s="10"/>
      <c r="O652" s="10"/>
      <c r="P652" s="8" t="str">
        <f aca="false">MID(IF(L652="","","; APP:"&amp;L652)&amp;IF(M652="","","; PS1:"&amp;M652)&amp;IF(N652="","","; AQP4:"&amp;N652)&amp;IF(O652="","","; CAG-EGFP:"&amp;O652),3,200)</f>
        <v/>
      </c>
      <c r="Q652" s="8" t="s">
        <v>82</v>
      </c>
      <c r="R652" s="8" t="s">
        <v>88</v>
      </c>
      <c r="S652" s="8"/>
      <c r="T652" s="11" t="s">
        <v>968</v>
      </c>
    </row>
    <row r="653" customFormat="false" ht="17.15" hidden="false" customHeight="false" outlineLevel="0" collapsed="false">
      <c r="A653" s="7" t="s">
        <v>970</v>
      </c>
      <c r="B653" s="8" t="s">
        <v>104</v>
      </c>
      <c r="C653" s="8" t="n">
        <v>140</v>
      </c>
      <c r="D653" s="8" t="s">
        <v>33</v>
      </c>
      <c r="E653" s="9" t="n">
        <v>45915</v>
      </c>
      <c r="F653" s="8" t="n">
        <f aca="true">IF(E653="","",ROUND((TODAY()-E653)/7,1))</f>
        <v>38.9</v>
      </c>
      <c r="G653" s="8" t="s">
        <v>52</v>
      </c>
      <c r="H653" s="8"/>
      <c r="I653" s="8" t="s">
        <v>192</v>
      </c>
      <c r="J653" s="8" t="s">
        <v>192</v>
      </c>
      <c r="K653" s="8" t="n">
        <v>1</v>
      </c>
      <c r="L653" s="10"/>
      <c r="M653" s="10"/>
      <c r="N653" s="10"/>
      <c r="O653" s="10"/>
      <c r="P653" s="8" t="str">
        <f aca="false">MID(IF(L653="","","; APP:"&amp;L653)&amp;IF(M653="","","; PS1:"&amp;M653)&amp;IF(N653="","","; AQP4:"&amp;N653)&amp;IF(O653="","","; CAG-EGFP:"&amp;O653),3,200)</f>
        <v/>
      </c>
      <c r="Q653" s="8" t="s">
        <v>82</v>
      </c>
      <c r="R653" s="8" t="s">
        <v>88</v>
      </c>
      <c r="S653" s="8"/>
      <c r="T653" s="11" t="s">
        <v>968</v>
      </c>
    </row>
    <row r="654" customFormat="false" ht="17.15" hidden="false" customHeight="false" outlineLevel="0" collapsed="false">
      <c r="A654" s="7" t="s">
        <v>971</v>
      </c>
      <c r="B654" s="8" t="s">
        <v>104</v>
      </c>
      <c r="C654" s="8" t="n">
        <v>141</v>
      </c>
      <c r="D654" s="8" t="s">
        <v>33</v>
      </c>
      <c r="E654" s="9" t="n">
        <v>45901</v>
      </c>
      <c r="F654" s="8" t="n">
        <f aca="true">IF(E654="","",ROUND((TODAY()-E654)/7,1))</f>
        <v>40.9</v>
      </c>
      <c r="G654" s="8" t="s">
        <v>52</v>
      </c>
      <c r="H654" s="8"/>
      <c r="I654" s="8" t="s">
        <v>192</v>
      </c>
      <c r="J654" s="8" t="s">
        <v>192</v>
      </c>
      <c r="K654" s="8" t="n">
        <v>1</v>
      </c>
      <c r="L654" s="10"/>
      <c r="M654" s="10"/>
      <c r="N654" s="10"/>
      <c r="O654" s="10"/>
      <c r="P654" s="8" t="str">
        <f aca="false">MID(IF(L654="","","; APP:"&amp;L654)&amp;IF(M654="","","; PS1:"&amp;M654)&amp;IF(N654="","","; AQP4:"&amp;N654)&amp;IF(O654="","","; CAG-EGFP:"&amp;O654),3,200)</f>
        <v/>
      </c>
      <c r="Q654" s="8" t="s">
        <v>82</v>
      </c>
      <c r="R654" s="8" t="s">
        <v>88</v>
      </c>
      <c r="S654" s="8"/>
      <c r="T654" s="11" t="s">
        <v>972</v>
      </c>
    </row>
    <row r="655" customFormat="false" ht="17.15" hidden="false" customHeight="false" outlineLevel="0" collapsed="false">
      <c r="A655" s="7" t="s">
        <v>973</v>
      </c>
      <c r="B655" s="8" t="s">
        <v>104</v>
      </c>
      <c r="C655" s="8" t="n">
        <v>142</v>
      </c>
      <c r="D655" s="8" t="s">
        <v>33</v>
      </c>
      <c r="E655" s="9" t="n">
        <v>45901</v>
      </c>
      <c r="F655" s="8" t="n">
        <f aca="true">IF(E655="","",ROUND((TODAY()-E655)/7,1))</f>
        <v>40.9</v>
      </c>
      <c r="G655" s="8" t="s">
        <v>52</v>
      </c>
      <c r="H655" s="8"/>
      <c r="I655" s="8" t="s">
        <v>192</v>
      </c>
      <c r="J655" s="8" t="s">
        <v>192</v>
      </c>
      <c r="K655" s="8" t="n">
        <v>1</v>
      </c>
      <c r="L655" s="10"/>
      <c r="M655" s="10"/>
      <c r="N655" s="10"/>
      <c r="O655" s="10"/>
      <c r="P655" s="8" t="str">
        <f aca="false">MID(IF(L655="","","; APP:"&amp;L655)&amp;IF(M655="","","; PS1:"&amp;M655)&amp;IF(N655="","","; AQP4:"&amp;N655)&amp;IF(O655="","","; CAG-EGFP:"&amp;O655),3,200)</f>
        <v/>
      </c>
      <c r="Q655" s="8" t="s">
        <v>82</v>
      </c>
      <c r="R655" s="8" t="s">
        <v>88</v>
      </c>
      <c r="S655" s="8"/>
      <c r="T655" s="11" t="s">
        <v>972</v>
      </c>
    </row>
    <row r="656" customFormat="false" ht="17.15" hidden="false" customHeight="false" outlineLevel="0" collapsed="false">
      <c r="A656" s="7" t="s">
        <v>974</v>
      </c>
      <c r="B656" s="8" t="s">
        <v>104</v>
      </c>
      <c r="C656" s="8" t="n">
        <v>143</v>
      </c>
      <c r="D656" s="8" t="s">
        <v>33</v>
      </c>
      <c r="E656" s="9" t="n">
        <v>45901</v>
      </c>
      <c r="F656" s="8" t="n">
        <f aca="true">IF(E656="","",ROUND((TODAY()-E656)/7,1))</f>
        <v>40.9</v>
      </c>
      <c r="G656" s="8" t="s">
        <v>52</v>
      </c>
      <c r="H656" s="8"/>
      <c r="I656" s="8" t="s">
        <v>192</v>
      </c>
      <c r="J656" s="8" t="s">
        <v>192</v>
      </c>
      <c r="K656" s="8" t="n">
        <v>1</v>
      </c>
      <c r="L656" s="10"/>
      <c r="M656" s="10"/>
      <c r="N656" s="10"/>
      <c r="O656" s="10"/>
      <c r="P656" s="8" t="str">
        <f aca="false">MID(IF(L656="","","; APP:"&amp;L656)&amp;IF(M656="","","; PS1:"&amp;M656)&amp;IF(N656="","","; AQP4:"&amp;N656)&amp;IF(O656="","","; CAG-EGFP:"&amp;O656),3,200)</f>
        <v/>
      </c>
      <c r="Q656" s="8" t="s">
        <v>82</v>
      </c>
      <c r="R656" s="8" t="s">
        <v>88</v>
      </c>
      <c r="S656" s="8"/>
      <c r="T656" s="11" t="s">
        <v>972</v>
      </c>
    </row>
    <row r="657" customFormat="false" ht="17.15" hidden="false" customHeight="false" outlineLevel="0" collapsed="false">
      <c r="A657" s="7" t="s">
        <v>975</v>
      </c>
      <c r="B657" s="8" t="s">
        <v>104</v>
      </c>
      <c r="C657" s="8" t="n">
        <v>144</v>
      </c>
      <c r="D657" s="8" t="s">
        <v>33</v>
      </c>
      <c r="E657" s="9" t="n">
        <v>45901</v>
      </c>
      <c r="F657" s="8" t="n">
        <f aca="true">IF(E657="","",ROUND((TODAY()-E657)/7,1))</f>
        <v>40.9</v>
      </c>
      <c r="G657" s="8" t="s">
        <v>52</v>
      </c>
      <c r="H657" s="8"/>
      <c r="I657" s="8" t="s">
        <v>192</v>
      </c>
      <c r="J657" s="8" t="s">
        <v>192</v>
      </c>
      <c r="K657" s="8" t="n">
        <v>1</v>
      </c>
      <c r="L657" s="10"/>
      <c r="M657" s="10"/>
      <c r="N657" s="10"/>
      <c r="O657" s="10"/>
      <c r="P657" s="8" t="str">
        <f aca="false">MID(IF(L657="","","; APP:"&amp;L657)&amp;IF(M657="","","; PS1:"&amp;M657)&amp;IF(N657="","","; AQP4:"&amp;N657)&amp;IF(O657="","","; CAG-EGFP:"&amp;O657),3,200)</f>
        <v/>
      </c>
      <c r="Q657" s="8" t="s">
        <v>82</v>
      </c>
      <c r="R657" s="8" t="s">
        <v>88</v>
      </c>
      <c r="S657" s="8"/>
      <c r="T657" s="11" t="s">
        <v>972</v>
      </c>
    </row>
    <row r="658" customFormat="false" ht="17.15" hidden="false" customHeight="false" outlineLevel="0" collapsed="false">
      <c r="A658" s="7" t="s">
        <v>976</v>
      </c>
      <c r="B658" s="8" t="s">
        <v>104</v>
      </c>
      <c r="C658" s="8" t="n">
        <v>145</v>
      </c>
      <c r="D658" s="8" t="s">
        <v>33</v>
      </c>
      <c r="E658" s="9" t="n">
        <v>45901</v>
      </c>
      <c r="F658" s="8" t="n">
        <f aca="true">IF(E658="","",ROUND((TODAY()-E658)/7,1))</f>
        <v>40.9</v>
      </c>
      <c r="G658" s="8" t="s">
        <v>52</v>
      </c>
      <c r="H658" s="8"/>
      <c r="I658" s="8" t="s">
        <v>192</v>
      </c>
      <c r="J658" s="8" t="s">
        <v>192</v>
      </c>
      <c r="K658" s="8" t="n">
        <v>1</v>
      </c>
      <c r="L658" s="10"/>
      <c r="M658" s="10"/>
      <c r="N658" s="10"/>
      <c r="O658" s="10"/>
      <c r="P658" s="8" t="str">
        <f aca="false">MID(IF(L658="","","; APP:"&amp;L658)&amp;IF(M658="","","; PS1:"&amp;M658)&amp;IF(N658="","","; AQP4:"&amp;N658)&amp;IF(O658="","","; CAG-EGFP:"&amp;O658),3,200)</f>
        <v/>
      </c>
      <c r="Q658" s="8" t="s">
        <v>82</v>
      </c>
      <c r="R658" s="8" t="s">
        <v>88</v>
      </c>
      <c r="S658" s="8"/>
      <c r="T658" s="11" t="s">
        <v>972</v>
      </c>
    </row>
    <row r="659" customFormat="false" ht="17.15" hidden="false" customHeight="false" outlineLevel="0" collapsed="false">
      <c r="A659" s="7" t="s">
        <v>977</v>
      </c>
      <c r="B659" s="8" t="s">
        <v>104</v>
      </c>
      <c r="C659" s="8" t="n">
        <v>146</v>
      </c>
      <c r="D659" s="8" t="s">
        <v>33</v>
      </c>
      <c r="E659" s="9" t="n">
        <v>45901</v>
      </c>
      <c r="F659" s="8" t="n">
        <f aca="true">IF(E659="","",ROUND((TODAY()-E659)/7,1))</f>
        <v>40.9</v>
      </c>
      <c r="G659" s="8" t="s">
        <v>52</v>
      </c>
      <c r="H659" s="8"/>
      <c r="I659" s="8" t="s">
        <v>192</v>
      </c>
      <c r="J659" s="8" t="s">
        <v>192</v>
      </c>
      <c r="K659" s="8" t="n">
        <v>1</v>
      </c>
      <c r="L659" s="10"/>
      <c r="M659" s="10"/>
      <c r="N659" s="10"/>
      <c r="O659" s="10"/>
      <c r="P659" s="8" t="str">
        <f aca="false">MID(IF(L659="","","; APP:"&amp;L659)&amp;IF(M659="","","; PS1:"&amp;M659)&amp;IF(N659="","","; AQP4:"&amp;N659)&amp;IF(O659="","","; CAG-EGFP:"&amp;O659),3,200)</f>
        <v/>
      </c>
      <c r="Q659" s="8" t="s">
        <v>82</v>
      </c>
      <c r="R659" s="8" t="s">
        <v>88</v>
      </c>
      <c r="S659" s="8"/>
      <c r="T659" s="11" t="s">
        <v>972</v>
      </c>
    </row>
    <row r="660" customFormat="false" ht="17.15" hidden="false" customHeight="false" outlineLevel="0" collapsed="false">
      <c r="A660" s="7" t="s">
        <v>978</v>
      </c>
      <c r="B660" s="8" t="s">
        <v>104</v>
      </c>
      <c r="C660" s="8" t="n">
        <v>147</v>
      </c>
      <c r="D660" s="8" t="s">
        <v>33</v>
      </c>
      <c r="E660" s="9" t="n">
        <v>46022</v>
      </c>
      <c r="F660" s="8" t="n">
        <f aca="true">IF(E660="","",ROUND((TODAY()-E660)/7,1))</f>
        <v>23.6</v>
      </c>
      <c r="G660" s="8" t="s">
        <v>52</v>
      </c>
      <c r="H660" s="8"/>
      <c r="I660" s="8" t="s">
        <v>192</v>
      </c>
      <c r="J660" s="8" t="s">
        <v>192</v>
      </c>
      <c r="K660" s="8" t="n">
        <v>1</v>
      </c>
      <c r="L660" s="10"/>
      <c r="M660" s="10"/>
      <c r="N660" s="10"/>
      <c r="O660" s="10"/>
      <c r="P660" s="8" t="str">
        <f aca="false">MID(IF(L660="","","; APP:"&amp;L660)&amp;IF(M660="","","; PS1:"&amp;M660)&amp;IF(N660="","","; AQP4:"&amp;N660)&amp;IF(O660="","","; CAG-EGFP:"&amp;O660),3,200)</f>
        <v/>
      </c>
      <c r="Q660" s="8" t="s">
        <v>82</v>
      </c>
      <c r="R660" s="8" t="s">
        <v>88</v>
      </c>
      <c r="S660" s="8"/>
      <c r="T660" s="11" t="s">
        <v>979</v>
      </c>
    </row>
    <row r="661" customFormat="false" ht="17.15" hidden="false" customHeight="false" outlineLevel="0" collapsed="false">
      <c r="A661" s="7" t="s">
        <v>980</v>
      </c>
      <c r="B661" s="8" t="s">
        <v>104</v>
      </c>
      <c r="C661" s="8" t="n">
        <v>148</v>
      </c>
      <c r="D661" s="8" t="s">
        <v>33</v>
      </c>
      <c r="E661" s="9" t="n">
        <v>46022</v>
      </c>
      <c r="F661" s="8" t="n">
        <f aca="true">IF(E661="","",ROUND((TODAY()-E661)/7,1))</f>
        <v>23.6</v>
      </c>
      <c r="G661" s="8" t="s">
        <v>52</v>
      </c>
      <c r="H661" s="8"/>
      <c r="I661" s="8" t="s">
        <v>192</v>
      </c>
      <c r="J661" s="8" t="s">
        <v>192</v>
      </c>
      <c r="K661" s="8" t="n">
        <v>1</v>
      </c>
      <c r="L661" s="10"/>
      <c r="M661" s="10"/>
      <c r="N661" s="10"/>
      <c r="O661" s="10"/>
      <c r="P661" s="8" t="str">
        <f aca="false">MID(IF(L661="","","; APP:"&amp;L661)&amp;IF(M661="","","; PS1:"&amp;M661)&amp;IF(N661="","","; AQP4:"&amp;N661)&amp;IF(O661="","","; CAG-EGFP:"&amp;O661),3,200)</f>
        <v/>
      </c>
      <c r="Q661" s="8" t="s">
        <v>82</v>
      </c>
      <c r="R661" s="8" t="s">
        <v>88</v>
      </c>
      <c r="S661" s="8"/>
      <c r="T661" s="11" t="s">
        <v>979</v>
      </c>
    </row>
    <row r="662" customFormat="false" ht="17.15" hidden="false" customHeight="false" outlineLevel="0" collapsed="false">
      <c r="A662" s="7" t="s">
        <v>981</v>
      </c>
      <c r="B662" s="8" t="s">
        <v>104</v>
      </c>
      <c r="C662" s="8" t="n">
        <v>149</v>
      </c>
      <c r="D662" s="8" t="s">
        <v>33</v>
      </c>
      <c r="E662" s="9" t="n">
        <v>46022</v>
      </c>
      <c r="F662" s="8" t="n">
        <f aca="true">IF(E662="","",ROUND((TODAY()-E662)/7,1))</f>
        <v>23.6</v>
      </c>
      <c r="G662" s="8" t="s">
        <v>52</v>
      </c>
      <c r="H662" s="8"/>
      <c r="I662" s="8" t="s">
        <v>192</v>
      </c>
      <c r="J662" s="8" t="s">
        <v>192</v>
      </c>
      <c r="K662" s="8" t="n">
        <v>1</v>
      </c>
      <c r="L662" s="10"/>
      <c r="M662" s="10"/>
      <c r="N662" s="10"/>
      <c r="O662" s="10"/>
      <c r="P662" s="8" t="str">
        <f aca="false">MID(IF(L662="","","; APP:"&amp;L662)&amp;IF(M662="","","; PS1:"&amp;M662)&amp;IF(N662="","","; AQP4:"&amp;N662)&amp;IF(O662="","","; CAG-EGFP:"&amp;O662),3,200)</f>
        <v/>
      </c>
      <c r="Q662" s="8" t="s">
        <v>82</v>
      </c>
      <c r="R662" s="8" t="s">
        <v>88</v>
      </c>
      <c r="S662" s="8"/>
      <c r="T662" s="11" t="s">
        <v>979</v>
      </c>
    </row>
    <row r="663" customFormat="false" ht="17.15" hidden="false" customHeight="false" outlineLevel="0" collapsed="false">
      <c r="A663" s="7" t="s">
        <v>982</v>
      </c>
      <c r="B663" s="8" t="s">
        <v>104</v>
      </c>
      <c r="C663" s="8" t="n">
        <v>150</v>
      </c>
      <c r="D663" s="8" t="s">
        <v>33</v>
      </c>
      <c r="E663" s="9" t="n">
        <v>46022</v>
      </c>
      <c r="F663" s="8" t="n">
        <f aca="true">IF(E663="","",ROUND((TODAY()-E663)/7,1))</f>
        <v>23.6</v>
      </c>
      <c r="G663" s="8" t="s">
        <v>52</v>
      </c>
      <c r="H663" s="8"/>
      <c r="I663" s="8" t="s">
        <v>192</v>
      </c>
      <c r="J663" s="8" t="s">
        <v>192</v>
      </c>
      <c r="K663" s="8" t="n">
        <v>1</v>
      </c>
      <c r="L663" s="10"/>
      <c r="M663" s="10"/>
      <c r="N663" s="10"/>
      <c r="O663" s="10"/>
      <c r="P663" s="8" t="str">
        <f aca="false">MID(IF(L663="","","; APP:"&amp;L663)&amp;IF(M663="","","; PS1:"&amp;M663)&amp;IF(N663="","","; AQP4:"&amp;N663)&amp;IF(O663="","","; CAG-EGFP:"&amp;O663),3,200)</f>
        <v/>
      </c>
      <c r="Q663" s="8" t="s">
        <v>82</v>
      </c>
      <c r="R663" s="8" t="s">
        <v>88</v>
      </c>
      <c r="S663" s="8"/>
      <c r="T663" s="11" t="s">
        <v>979</v>
      </c>
    </row>
    <row r="664" customFormat="false" ht="17.15" hidden="false" customHeight="false" outlineLevel="0" collapsed="false">
      <c r="A664" s="7" t="s">
        <v>983</v>
      </c>
      <c r="B664" s="8" t="s">
        <v>104</v>
      </c>
      <c r="C664" s="8" t="n">
        <v>151</v>
      </c>
      <c r="D664" s="8" t="s">
        <v>33</v>
      </c>
      <c r="E664" s="9" t="n">
        <v>46022</v>
      </c>
      <c r="F664" s="8" t="n">
        <f aca="true">IF(E664="","",ROUND((TODAY()-E664)/7,1))</f>
        <v>23.6</v>
      </c>
      <c r="G664" s="8" t="s">
        <v>52</v>
      </c>
      <c r="H664" s="8"/>
      <c r="I664" s="8" t="s">
        <v>192</v>
      </c>
      <c r="J664" s="8" t="s">
        <v>192</v>
      </c>
      <c r="K664" s="8" t="n">
        <v>1</v>
      </c>
      <c r="L664" s="10"/>
      <c r="M664" s="10"/>
      <c r="N664" s="10"/>
      <c r="O664" s="10"/>
      <c r="P664" s="8" t="str">
        <f aca="false">MID(IF(L664="","","; APP:"&amp;L664)&amp;IF(M664="","","; PS1:"&amp;M664)&amp;IF(N664="","","; AQP4:"&amp;N664)&amp;IF(O664="","","; CAG-EGFP:"&amp;O664),3,200)</f>
        <v/>
      </c>
      <c r="Q664" s="8" t="s">
        <v>82</v>
      </c>
      <c r="R664" s="8" t="s">
        <v>88</v>
      </c>
      <c r="S664" s="8"/>
      <c r="T664" s="11" t="s">
        <v>979</v>
      </c>
    </row>
    <row r="665" customFormat="false" ht="17.15" hidden="false" customHeight="false" outlineLevel="0" collapsed="false">
      <c r="A665" s="7" t="s">
        <v>984</v>
      </c>
      <c r="B665" s="8" t="s">
        <v>104</v>
      </c>
      <c r="C665" s="8" t="n">
        <v>152</v>
      </c>
      <c r="D665" s="8" t="s">
        <v>33</v>
      </c>
      <c r="E665" s="9" t="n">
        <v>46022</v>
      </c>
      <c r="F665" s="8" t="n">
        <f aca="true">IF(E665="","",ROUND((TODAY()-E665)/7,1))</f>
        <v>23.6</v>
      </c>
      <c r="G665" s="8" t="s">
        <v>52</v>
      </c>
      <c r="H665" s="8"/>
      <c r="I665" s="8" t="s">
        <v>192</v>
      </c>
      <c r="J665" s="8" t="s">
        <v>192</v>
      </c>
      <c r="K665" s="8" t="n">
        <v>1</v>
      </c>
      <c r="L665" s="10"/>
      <c r="M665" s="10"/>
      <c r="N665" s="10"/>
      <c r="O665" s="10"/>
      <c r="P665" s="8" t="str">
        <f aca="false">MID(IF(L665="","","; APP:"&amp;L665)&amp;IF(M665="","","; PS1:"&amp;M665)&amp;IF(N665="","","; AQP4:"&amp;N665)&amp;IF(O665="","","; CAG-EGFP:"&amp;O665),3,200)</f>
        <v/>
      </c>
      <c r="Q665" s="8" t="s">
        <v>82</v>
      </c>
      <c r="R665" s="8" t="s">
        <v>88</v>
      </c>
      <c r="S665" s="8"/>
      <c r="T665" s="11" t="s">
        <v>979</v>
      </c>
    </row>
    <row r="666" customFormat="false" ht="17.15" hidden="false" customHeight="false" outlineLevel="0" collapsed="false">
      <c r="A666" s="7" t="s">
        <v>985</v>
      </c>
      <c r="B666" s="8" t="s">
        <v>104</v>
      </c>
      <c r="C666" s="8" t="n">
        <v>153</v>
      </c>
      <c r="D666" s="8" t="s">
        <v>33</v>
      </c>
      <c r="E666" s="9" t="n">
        <v>46016</v>
      </c>
      <c r="F666" s="8" t="n">
        <f aca="true">IF(E666="","",ROUND((TODAY()-E666)/7,1))</f>
        <v>24.4</v>
      </c>
      <c r="G666" s="8" t="s">
        <v>52</v>
      </c>
      <c r="H666" s="8"/>
      <c r="I666" s="8" t="s">
        <v>192</v>
      </c>
      <c r="J666" s="8" t="s">
        <v>192</v>
      </c>
      <c r="K666" s="8" t="n">
        <v>1</v>
      </c>
      <c r="L666" s="10"/>
      <c r="M666" s="10"/>
      <c r="N666" s="10"/>
      <c r="O666" s="10"/>
      <c r="P666" s="8" t="str">
        <f aca="false">MID(IF(L666="","","; APP:"&amp;L666)&amp;IF(M666="","","; PS1:"&amp;M666)&amp;IF(N666="","","; AQP4:"&amp;N666)&amp;IF(O666="","","; CAG-EGFP:"&amp;O666),3,200)</f>
        <v/>
      </c>
      <c r="Q666" s="8" t="s">
        <v>82</v>
      </c>
      <c r="R666" s="8" t="s">
        <v>88</v>
      </c>
      <c r="S666" s="8"/>
      <c r="T666" s="11" t="s">
        <v>986</v>
      </c>
    </row>
    <row r="667" customFormat="false" ht="17.15" hidden="false" customHeight="false" outlineLevel="0" collapsed="false">
      <c r="A667" s="7" t="s">
        <v>987</v>
      </c>
      <c r="B667" s="8" t="s">
        <v>104</v>
      </c>
      <c r="C667" s="8" t="n">
        <v>154</v>
      </c>
      <c r="D667" s="8" t="s">
        <v>33</v>
      </c>
      <c r="E667" s="9" t="n">
        <v>46016</v>
      </c>
      <c r="F667" s="8" t="n">
        <f aca="true">IF(E667="","",ROUND((TODAY()-E667)/7,1))</f>
        <v>24.4</v>
      </c>
      <c r="G667" s="8" t="s">
        <v>52</v>
      </c>
      <c r="H667" s="8"/>
      <c r="I667" s="8" t="s">
        <v>192</v>
      </c>
      <c r="J667" s="8" t="s">
        <v>192</v>
      </c>
      <c r="K667" s="8" t="n">
        <v>1</v>
      </c>
      <c r="L667" s="10"/>
      <c r="M667" s="10"/>
      <c r="N667" s="10"/>
      <c r="O667" s="10"/>
      <c r="P667" s="8" t="str">
        <f aca="false">MID(IF(L667="","","; APP:"&amp;L667)&amp;IF(M667="","","; PS1:"&amp;M667)&amp;IF(N667="","","; AQP4:"&amp;N667)&amp;IF(O667="","","; CAG-EGFP:"&amp;O667),3,200)</f>
        <v/>
      </c>
      <c r="Q667" s="8" t="s">
        <v>82</v>
      </c>
      <c r="R667" s="8" t="s">
        <v>88</v>
      </c>
      <c r="S667" s="8"/>
      <c r="T667" s="11" t="s">
        <v>986</v>
      </c>
    </row>
    <row r="668" customFormat="false" ht="17.15" hidden="false" customHeight="false" outlineLevel="0" collapsed="false">
      <c r="A668" s="7" t="s">
        <v>988</v>
      </c>
      <c r="B668" s="8" t="s">
        <v>104</v>
      </c>
      <c r="C668" s="8" t="n">
        <v>155</v>
      </c>
      <c r="D668" s="8" t="s">
        <v>33</v>
      </c>
      <c r="E668" s="9" t="n">
        <v>46016</v>
      </c>
      <c r="F668" s="8" t="n">
        <f aca="true">IF(E668="","",ROUND((TODAY()-E668)/7,1))</f>
        <v>24.4</v>
      </c>
      <c r="G668" s="8" t="s">
        <v>52</v>
      </c>
      <c r="H668" s="8"/>
      <c r="I668" s="8" t="s">
        <v>192</v>
      </c>
      <c r="J668" s="8" t="s">
        <v>192</v>
      </c>
      <c r="K668" s="8" t="n">
        <v>1</v>
      </c>
      <c r="L668" s="10"/>
      <c r="M668" s="10"/>
      <c r="N668" s="10"/>
      <c r="O668" s="10"/>
      <c r="P668" s="8" t="str">
        <f aca="false">MID(IF(L668="","","; APP:"&amp;L668)&amp;IF(M668="","","; PS1:"&amp;M668)&amp;IF(N668="","","; AQP4:"&amp;N668)&amp;IF(O668="","","; CAG-EGFP:"&amp;O668),3,200)</f>
        <v/>
      </c>
      <c r="Q668" s="8" t="s">
        <v>82</v>
      </c>
      <c r="R668" s="8" t="s">
        <v>88</v>
      </c>
      <c r="S668" s="8"/>
      <c r="T668" s="11" t="s">
        <v>986</v>
      </c>
    </row>
    <row r="669" customFormat="false" ht="17.15" hidden="false" customHeight="false" outlineLevel="0" collapsed="false">
      <c r="A669" s="7" t="s">
        <v>989</v>
      </c>
      <c r="B669" s="8" t="s">
        <v>104</v>
      </c>
      <c r="C669" s="8" t="n">
        <v>156</v>
      </c>
      <c r="D669" s="8" t="s">
        <v>33</v>
      </c>
      <c r="E669" s="9" t="n">
        <v>46016</v>
      </c>
      <c r="F669" s="8" t="n">
        <f aca="true">IF(E669="","",ROUND((TODAY()-E669)/7,1))</f>
        <v>24.4</v>
      </c>
      <c r="G669" s="8" t="s">
        <v>52</v>
      </c>
      <c r="H669" s="8"/>
      <c r="I669" s="8" t="s">
        <v>192</v>
      </c>
      <c r="J669" s="8" t="s">
        <v>192</v>
      </c>
      <c r="K669" s="8" t="n">
        <v>1</v>
      </c>
      <c r="L669" s="10"/>
      <c r="M669" s="10"/>
      <c r="N669" s="10"/>
      <c r="O669" s="10"/>
      <c r="P669" s="8" t="str">
        <f aca="false">MID(IF(L669="","","; APP:"&amp;L669)&amp;IF(M669="","","; PS1:"&amp;M669)&amp;IF(N669="","","; AQP4:"&amp;N669)&amp;IF(O669="","","; CAG-EGFP:"&amp;O669),3,200)</f>
        <v/>
      </c>
      <c r="Q669" s="8" t="s">
        <v>82</v>
      </c>
      <c r="R669" s="8" t="s">
        <v>88</v>
      </c>
      <c r="S669" s="8"/>
      <c r="T669" s="11" t="s">
        <v>986</v>
      </c>
    </row>
    <row r="670" customFormat="false" ht="17.15" hidden="false" customHeight="false" outlineLevel="0" collapsed="false">
      <c r="A670" s="7" t="s">
        <v>990</v>
      </c>
      <c r="B670" s="8" t="s">
        <v>104</v>
      </c>
      <c r="C670" s="8" t="n">
        <v>157</v>
      </c>
      <c r="D670" s="8" t="s">
        <v>33</v>
      </c>
      <c r="E670" s="9" t="n">
        <v>46016</v>
      </c>
      <c r="F670" s="8" t="n">
        <f aca="true">IF(E670="","",ROUND((TODAY()-E670)/7,1))</f>
        <v>24.4</v>
      </c>
      <c r="G670" s="8" t="s">
        <v>52</v>
      </c>
      <c r="H670" s="8"/>
      <c r="I670" s="8" t="s">
        <v>192</v>
      </c>
      <c r="J670" s="8" t="s">
        <v>192</v>
      </c>
      <c r="K670" s="8" t="n">
        <v>1</v>
      </c>
      <c r="L670" s="10"/>
      <c r="M670" s="10"/>
      <c r="N670" s="10"/>
      <c r="O670" s="10"/>
      <c r="P670" s="8" t="str">
        <f aca="false">MID(IF(L670="","","; APP:"&amp;L670)&amp;IF(M670="","","; PS1:"&amp;M670)&amp;IF(N670="","","; AQP4:"&amp;N670)&amp;IF(O670="","","; CAG-EGFP:"&amp;O670),3,200)</f>
        <v/>
      </c>
      <c r="Q670" s="8" t="s">
        <v>82</v>
      </c>
      <c r="R670" s="8" t="s">
        <v>88</v>
      </c>
      <c r="S670" s="8"/>
      <c r="T670" s="11" t="s">
        <v>986</v>
      </c>
    </row>
    <row r="671" customFormat="false" ht="17.15" hidden="false" customHeight="false" outlineLevel="0" collapsed="false">
      <c r="A671" s="7" t="s">
        <v>991</v>
      </c>
      <c r="B671" s="8" t="s">
        <v>104</v>
      </c>
      <c r="C671" s="8" t="n">
        <v>158</v>
      </c>
      <c r="D671" s="8" t="s">
        <v>33</v>
      </c>
      <c r="E671" s="9" t="n">
        <v>46016</v>
      </c>
      <c r="F671" s="8" t="n">
        <f aca="true">IF(E671="","",ROUND((TODAY()-E671)/7,1))</f>
        <v>24.4</v>
      </c>
      <c r="G671" s="8" t="s">
        <v>52</v>
      </c>
      <c r="H671" s="8"/>
      <c r="I671" s="8" t="s">
        <v>192</v>
      </c>
      <c r="J671" s="8" t="s">
        <v>192</v>
      </c>
      <c r="K671" s="8" t="n">
        <v>1</v>
      </c>
      <c r="L671" s="10"/>
      <c r="M671" s="10"/>
      <c r="N671" s="10"/>
      <c r="O671" s="10"/>
      <c r="P671" s="8" t="str">
        <f aca="false">MID(IF(L671="","","; APP:"&amp;L671)&amp;IF(M671="","","; PS1:"&amp;M671)&amp;IF(N671="","","; AQP4:"&amp;N671)&amp;IF(O671="","","; CAG-EGFP:"&amp;O671),3,200)</f>
        <v/>
      </c>
      <c r="Q671" s="8" t="s">
        <v>82</v>
      </c>
      <c r="R671" s="8" t="s">
        <v>88</v>
      </c>
      <c r="S671" s="8"/>
      <c r="T671" s="11" t="s">
        <v>986</v>
      </c>
    </row>
    <row r="672" customFormat="false" ht="17.15" hidden="false" customHeight="false" outlineLevel="0" collapsed="false">
      <c r="A672" s="7" t="s">
        <v>992</v>
      </c>
      <c r="B672" s="8" t="s">
        <v>104</v>
      </c>
      <c r="C672" s="8" t="n">
        <v>159</v>
      </c>
      <c r="D672" s="8" t="s">
        <v>33</v>
      </c>
      <c r="E672" s="9" t="n">
        <v>46065</v>
      </c>
      <c r="F672" s="8" t="n">
        <f aca="true">IF(E672="","",ROUND((TODAY()-E672)/7,1))</f>
        <v>17.4</v>
      </c>
      <c r="G672" s="8" t="s">
        <v>52</v>
      </c>
      <c r="H672" s="8"/>
      <c r="I672" s="8" t="s">
        <v>192</v>
      </c>
      <c r="J672" s="8" t="s">
        <v>192</v>
      </c>
      <c r="K672" s="8" t="n">
        <v>1</v>
      </c>
      <c r="L672" s="10"/>
      <c r="M672" s="10"/>
      <c r="N672" s="10"/>
      <c r="O672" s="10"/>
      <c r="P672" s="8" t="str">
        <f aca="false">MID(IF(L672="","","; APP:"&amp;L672)&amp;IF(M672="","","; PS1:"&amp;M672)&amp;IF(N672="","","; AQP4:"&amp;N672)&amp;IF(O672="","","; CAG-EGFP:"&amp;O672),3,200)</f>
        <v/>
      </c>
      <c r="Q672" s="8" t="s">
        <v>82</v>
      </c>
      <c r="R672" s="8" t="s">
        <v>88</v>
      </c>
      <c r="S672" s="8"/>
      <c r="T672" s="11" t="s">
        <v>993</v>
      </c>
    </row>
    <row r="673" customFormat="false" ht="17.15" hidden="false" customHeight="false" outlineLevel="0" collapsed="false">
      <c r="A673" s="7" t="s">
        <v>994</v>
      </c>
      <c r="B673" s="8" t="s">
        <v>104</v>
      </c>
      <c r="C673" s="8" t="n">
        <v>160</v>
      </c>
      <c r="D673" s="8" t="s">
        <v>33</v>
      </c>
      <c r="E673" s="9" t="n">
        <v>46065</v>
      </c>
      <c r="F673" s="8" t="n">
        <f aca="true">IF(E673="","",ROUND((TODAY()-E673)/7,1))</f>
        <v>17.4</v>
      </c>
      <c r="G673" s="8" t="s">
        <v>52</v>
      </c>
      <c r="H673" s="8"/>
      <c r="I673" s="8" t="s">
        <v>192</v>
      </c>
      <c r="J673" s="8" t="s">
        <v>192</v>
      </c>
      <c r="K673" s="8" t="n">
        <v>1</v>
      </c>
      <c r="L673" s="10"/>
      <c r="M673" s="10"/>
      <c r="N673" s="10"/>
      <c r="O673" s="10"/>
      <c r="P673" s="8" t="str">
        <f aca="false">MID(IF(L673="","","; APP:"&amp;L673)&amp;IF(M673="","","; PS1:"&amp;M673)&amp;IF(N673="","","; AQP4:"&amp;N673)&amp;IF(O673="","","; CAG-EGFP:"&amp;O673),3,200)</f>
        <v/>
      </c>
      <c r="Q673" s="8" t="s">
        <v>82</v>
      </c>
      <c r="R673" s="8" t="s">
        <v>88</v>
      </c>
      <c r="S673" s="8"/>
      <c r="T673" s="11" t="s">
        <v>993</v>
      </c>
    </row>
    <row r="674" customFormat="false" ht="17.15" hidden="false" customHeight="false" outlineLevel="0" collapsed="false">
      <c r="A674" s="7" t="s">
        <v>995</v>
      </c>
      <c r="B674" s="8" t="s">
        <v>104</v>
      </c>
      <c r="C674" s="8" t="n">
        <v>161</v>
      </c>
      <c r="D674" s="8" t="s">
        <v>33</v>
      </c>
      <c r="E674" s="9" t="n">
        <v>46065</v>
      </c>
      <c r="F674" s="8" t="n">
        <f aca="true">IF(E674="","",ROUND((TODAY()-E674)/7,1))</f>
        <v>17.4</v>
      </c>
      <c r="G674" s="8" t="s">
        <v>52</v>
      </c>
      <c r="H674" s="8"/>
      <c r="I674" s="8" t="s">
        <v>192</v>
      </c>
      <c r="J674" s="8" t="s">
        <v>192</v>
      </c>
      <c r="K674" s="8" t="n">
        <v>1</v>
      </c>
      <c r="L674" s="10"/>
      <c r="M674" s="10"/>
      <c r="N674" s="10"/>
      <c r="O674" s="10"/>
      <c r="P674" s="8" t="str">
        <f aca="false">MID(IF(L674="","","; APP:"&amp;L674)&amp;IF(M674="","","; PS1:"&amp;M674)&amp;IF(N674="","","; AQP4:"&amp;N674)&amp;IF(O674="","","; CAG-EGFP:"&amp;O674),3,200)</f>
        <v/>
      </c>
      <c r="Q674" s="8" t="s">
        <v>82</v>
      </c>
      <c r="R674" s="8" t="s">
        <v>88</v>
      </c>
      <c r="S674" s="8"/>
      <c r="T674" s="11" t="s">
        <v>993</v>
      </c>
    </row>
    <row r="675" customFormat="false" ht="17.15" hidden="false" customHeight="false" outlineLevel="0" collapsed="false">
      <c r="A675" s="7" t="s">
        <v>996</v>
      </c>
      <c r="B675" s="8" t="s">
        <v>104</v>
      </c>
      <c r="C675" s="8" t="n">
        <v>162</v>
      </c>
      <c r="D675" s="8" t="s">
        <v>33</v>
      </c>
      <c r="E675" s="9" t="n">
        <v>46065</v>
      </c>
      <c r="F675" s="8" t="n">
        <f aca="true">IF(E675="","",ROUND((TODAY()-E675)/7,1))</f>
        <v>17.4</v>
      </c>
      <c r="G675" s="8" t="s">
        <v>52</v>
      </c>
      <c r="H675" s="8"/>
      <c r="I675" s="8" t="s">
        <v>192</v>
      </c>
      <c r="J675" s="8" t="s">
        <v>192</v>
      </c>
      <c r="K675" s="8" t="n">
        <v>1</v>
      </c>
      <c r="L675" s="10"/>
      <c r="M675" s="10"/>
      <c r="N675" s="10"/>
      <c r="O675" s="10"/>
      <c r="P675" s="8" t="str">
        <f aca="false">MID(IF(L675="","","; APP:"&amp;L675)&amp;IF(M675="","","; PS1:"&amp;M675)&amp;IF(N675="","","; AQP4:"&amp;N675)&amp;IF(O675="","","; CAG-EGFP:"&amp;O675),3,200)</f>
        <v/>
      </c>
      <c r="Q675" s="8" t="s">
        <v>82</v>
      </c>
      <c r="R675" s="8" t="s">
        <v>88</v>
      </c>
      <c r="S675" s="8"/>
      <c r="T675" s="11" t="s">
        <v>993</v>
      </c>
    </row>
    <row r="676" customFormat="false" ht="17.15" hidden="false" customHeight="false" outlineLevel="0" collapsed="false">
      <c r="A676" s="7" t="s">
        <v>997</v>
      </c>
      <c r="B676" s="8" t="s">
        <v>104</v>
      </c>
      <c r="C676" s="8" t="n">
        <v>163</v>
      </c>
      <c r="D676" s="8" t="s">
        <v>33</v>
      </c>
      <c r="E676" s="9" t="n">
        <v>46065</v>
      </c>
      <c r="F676" s="8" t="n">
        <f aca="true">IF(E676="","",ROUND((TODAY()-E676)/7,1))</f>
        <v>17.4</v>
      </c>
      <c r="G676" s="8" t="s">
        <v>52</v>
      </c>
      <c r="H676" s="8"/>
      <c r="I676" s="8" t="s">
        <v>192</v>
      </c>
      <c r="J676" s="8" t="s">
        <v>192</v>
      </c>
      <c r="K676" s="8" t="n">
        <v>1</v>
      </c>
      <c r="L676" s="10"/>
      <c r="M676" s="10"/>
      <c r="N676" s="10"/>
      <c r="O676" s="10"/>
      <c r="P676" s="8" t="str">
        <f aca="false">MID(IF(L676="","","; APP:"&amp;L676)&amp;IF(M676="","","; PS1:"&amp;M676)&amp;IF(N676="","","; AQP4:"&amp;N676)&amp;IF(O676="","","; CAG-EGFP:"&amp;O676),3,200)</f>
        <v/>
      </c>
      <c r="Q676" s="8" t="s">
        <v>82</v>
      </c>
      <c r="R676" s="8" t="s">
        <v>88</v>
      </c>
      <c r="S676" s="8"/>
      <c r="T676" s="11" t="s">
        <v>993</v>
      </c>
    </row>
    <row r="677" customFormat="false" ht="17.15" hidden="false" customHeight="false" outlineLevel="0" collapsed="false">
      <c r="A677" s="7" t="s">
        <v>998</v>
      </c>
      <c r="B677" s="8" t="s">
        <v>104</v>
      </c>
      <c r="C677" s="8" t="n">
        <v>164</v>
      </c>
      <c r="D677" s="8" t="s">
        <v>33</v>
      </c>
      <c r="E677" s="9" t="n">
        <v>46065</v>
      </c>
      <c r="F677" s="8" t="n">
        <f aca="true">IF(E677="","",ROUND((TODAY()-E677)/7,1))</f>
        <v>17.4</v>
      </c>
      <c r="G677" s="8" t="s">
        <v>52</v>
      </c>
      <c r="H677" s="8"/>
      <c r="I677" s="8" t="s">
        <v>192</v>
      </c>
      <c r="J677" s="8" t="s">
        <v>192</v>
      </c>
      <c r="K677" s="8" t="n">
        <v>1</v>
      </c>
      <c r="L677" s="10"/>
      <c r="M677" s="10"/>
      <c r="N677" s="10"/>
      <c r="O677" s="10"/>
      <c r="P677" s="8" t="str">
        <f aca="false">MID(IF(L677="","","; APP:"&amp;L677)&amp;IF(M677="","","; PS1:"&amp;M677)&amp;IF(N677="","","; AQP4:"&amp;N677)&amp;IF(O677="","","; CAG-EGFP:"&amp;O677),3,200)</f>
        <v/>
      </c>
      <c r="Q677" s="8" t="s">
        <v>82</v>
      </c>
      <c r="R677" s="8" t="s">
        <v>88</v>
      </c>
      <c r="S677" s="8"/>
      <c r="T677" s="11" t="s">
        <v>993</v>
      </c>
    </row>
    <row r="678" customFormat="false" ht="17.15" hidden="false" customHeight="false" outlineLevel="0" collapsed="false">
      <c r="A678" s="7" t="s">
        <v>999</v>
      </c>
      <c r="B678" s="8" t="s">
        <v>104</v>
      </c>
      <c r="C678" s="8" t="n">
        <v>165</v>
      </c>
      <c r="D678" s="8" t="s">
        <v>33</v>
      </c>
      <c r="E678" s="9" t="n">
        <v>46065</v>
      </c>
      <c r="F678" s="8" t="n">
        <f aca="true">IF(E678="","",ROUND((TODAY()-E678)/7,1))</f>
        <v>17.4</v>
      </c>
      <c r="G678" s="8" t="s">
        <v>52</v>
      </c>
      <c r="H678" s="8"/>
      <c r="I678" s="8" t="s">
        <v>192</v>
      </c>
      <c r="J678" s="8" t="s">
        <v>192</v>
      </c>
      <c r="K678" s="8" t="n">
        <v>1</v>
      </c>
      <c r="L678" s="10"/>
      <c r="M678" s="10"/>
      <c r="N678" s="10"/>
      <c r="O678" s="10"/>
      <c r="P678" s="8" t="str">
        <f aca="false">MID(IF(L678="","","; APP:"&amp;L678)&amp;IF(M678="","","; PS1:"&amp;M678)&amp;IF(N678="","","; AQP4:"&amp;N678)&amp;IF(O678="","","; CAG-EGFP:"&amp;O678),3,200)</f>
        <v/>
      </c>
      <c r="Q678" s="8" t="s">
        <v>82</v>
      </c>
      <c r="R678" s="8" t="s">
        <v>88</v>
      </c>
      <c r="S678" s="8"/>
      <c r="T678" s="11" t="s">
        <v>993</v>
      </c>
    </row>
    <row r="679" customFormat="false" ht="17.15" hidden="false" customHeight="false" outlineLevel="0" collapsed="false">
      <c r="A679" s="7" t="s">
        <v>1000</v>
      </c>
      <c r="B679" s="8" t="s">
        <v>104</v>
      </c>
      <c r="C679" s="8" t="n">
        <v>166</v>
      </c>
      <c r="D679" s="8" t="s">
        <v>33</v>
      </c>
      <c r="E679" s="9" t="n">
        <v>46065</v>
      </c>
      <c r="F679" s="8" t="n">
        <f aca="true">IF(E679="","",ROUND((TODAY()-E679)/7,1))</f>
        <v>17.4</v>
      </c>
      <c r="G679" s="8" t="s">
        <v>52</v>
      </c>
      <c r="H679" s="8"/>
      <c r="I679" s="8" t="s">
        <v>192</v>
      </c>
      <c r="J679" s="8" t="s">
        <v>192</v>
      </c>
      <c r="K679" s="8" t="n">
        <v>1</v>
      </c>
      <c r="L679" s="10"/>
      <c r="M679" s="10"/>
      <c r="N679" s="10"/>
      <c r="O679" s="10"/>
      <c r="P679" s="8" t="str">
        <f aca="false">MID(IF(L679="","","; APP:"&amp;L679)&amp;IF(M679="","","; PS1:"&amp;M679)&amp;IF(N679="","","; AQP4:"&amp;N679)&amp;IF(O679="","","; CAG-EGFP:"&amp;O679),3,200)</f>
        <v/>
      </c>
      <c r="Q679" s="8" t="s">
        <v>82</v>
      </c>
      <c r="R679" s="8" t="s">
        <v>88</v>
      </c>
      <c r="S679" s="8"/>
      <c r="T679" s="11" t="s">
        <v>993</v>
      </c>
    </row>
    <row r="680" customFormat="false" ht="17.15" hidden="false" customHeight="false" outlineLevel="0" collapsed="false">
      <c r="A680" s="7" t="s">
        <v>1001</v>
      </c>
      <c r="B680" s="8" t="s">
        <v>104</v>
      </c>
      <c r="C680" s="8" t="n">
        <v>167</v>
      </c>
      <c r="D680" s="8" t="s">
        <v>33</v>
      </c>
      <c r="E680" s="9" t="n">
        <v>46065</v>
      </c>
      <c r="F680" s="8" t="n">
        <f aca="true">IF(E680="","",ROUND((TODAY()-E680)/7,1))</f>
        <v>17.4</v>
      </c>
      <c r="G680" s="8" t="s">
        <v>52</v>
      </c>
      <c r="H680" s="8"/>
      <c r="I680" s="8" t="s">
        <v>192</v>
      </c>
      <c r="J680" s="8" t="s">
        <v>192</v>
      </c>
      <c r="K680" s="8" t="n">
        <v>1</v>
      </c>
      <c r="L680" s="10"/>
      <c r="M680" s="10"/>
      <c r="N680" s="10"/>
      <c r="O680" s="10"/>
      <c r="P680" s="8" t="str">
        <f aca="false">MID(IF(L680="","","; APP:"&amp;L680)&amp;IF(M680="","","; PS1:"&amp;M680)&amp;IF(N680="","","; AQP4:"&amp;N680)&amp;IF(O680="","","; CAG-EGFP:"&amp;O680),3,200)</f>
        <v/>
      </c>
      <c r="Q680" s="8" t="s">
        <v>82</v>
      </c>
      <c r="R680" s="8" t="s">
        <v>88</v>
      </c>
      <c r="S680" s="8"/>
      <c r="T680" s="11" t="s">
        <v>993</v>
      </c>
    </row>
    <row r="681" customFormat="false" ht="17.15" hidden="false" customHeight="false" outlineLevel="0" collapsed="false">
      <c r="A681" s="7" t="s">
        <v>1002</v>
      </c>
      <c r="B681" s="8" t="s">
        <v>104</v>
      </c>
      <c r="C681" s="8" t="n">
        <v>168</v>
      </c>
      <c r="D681" s="8" t="s">
        <v>33</v>
      </c>
      <c r="E681" s="9" t="n">
        <v>46065</v>
      </c>
      <c r="F681" s="8" t="n">
        <f aca="true">IF(E681="","",ROUND((TODAY()-E681)/7,1))</f>
        <v>17.4</v>
      </c>
      <c r="G681" s="8" t="s">
        <v>52</v>
      </c>
      <c r="H681" s="8"/>
      <c r="I681" s="8" t="s">
        <v>192</v>
      </c>
      <c r="J681" s="8" t="s">
        <v>192</v>
      </c>
      <c r="K681" s="8" t="n">
        <v>1</v>
      </c>
      <c r="L681" s="10"/>
      <c r="M681" s="10"/>
      <c r="N681" s="10"/>
      <c r="O681" s="10"/>
      <c r="P681" s="8" t="str">
        <f aca="false">MID(IF(L681="","","; APP:"&amp;L681)&amp;IF(M681="","","; PS1:"&amp;M681)&amp;IF(N681="","","; AQP4:"&amp;N681)&amp;IF(O681="","","; CAG-EGFP:"&amp;O681),3,200)</f>
        <v/>
      </c>
      <c r="Q681" s="8" t="s">
        <v>82</v>
      </c>
      <c r="R681" s="8" t="s">
        <v>88</v>
      </c>
      <c r="S681" s="8"/>
      <c r="T681" s="11" t="s">
        <v>993</v>
      </c>
    </row>
    <row r="682" customFormat="false" ht="17.15" hidden="false" customHeight="false" outlineLevel="0" collapsed="false">
      <c r="A682" s="7" t="s">
        <v>1003</v>
      </c>
      <c r="B682" s="8" t="s">
        <v>104</v>
      </c>
      <c r="C682" s="8" t="n">
        <v>169</v>
      </c>
      <c r="D682" s="8" t="s">
        <v>33</v>
      </c>
      <c r="E682" s="9" t="n">
        <v>46065</v>
      </c>
      <c r="F682" s="8" t="n">
        <f aca="true">IF(E682="","",ROUND((TODAY()-E682)/7,1))</f>
        <v>17.4</v>
      </c>
      <c r="G682" s="8" t="s">
        <v>52</v>
      </c>
      <c r="H682" s="8"/>
      <c r="I682" s="8" t="s">
        <v>192</v>
      </c>
      <c r="J682" s="8" t="s">
        <v>192</v>
      </c>
      <c r="K682" s="8" t="n">
        <v>1</v>
      </c>
      <c r="L682" s="10"/>
      <c r="M682" s="10"/>
      <c r="N682" s="10"/>
      <c r="O682" s="10"/>
      <c r="P682" s="8" t="str">
        <f aca="false">MID(IF(L682="","","; APP:"&amp;L682)&amp;IF(M682="","","; PS1:"&amp;M682)&amp;IF(N682="","","; AQP4:"&amp;N682)&amp;IF(O682="","","; CAG-EGFP:"&amp;O682),3,200)</f>
        <v/>
      </c>
      <c r="Q682" s="8" t="s">
        <v>82</v>
      </c>
      <c r="R682" s="8" t="s">
        <v>14</v>
      </c>
      <c r="S682" s="8"/>
      <c r="T682" s="11" t="s">
        <v>1004</v>
      </c>
    </row>
    <row r="683" customFormat="false" ht="17.15" hidden="false" customHeight="false" outlineLevel="0" collapsed="false">
      <c r="A683" s="7" t="s">
        <v>1005</v>
      </c>
      <c r="B683" s="8" t="s">
        <v>104</v>
      </c>
      <c r="C683" s="8" t="n">
        <v>170</v>
      </c>
      <c r="D683" s="8" t="s">
        <v>33</v>
      </c>
      <c r="E683" s="9" t="n">
        <v>46086</v>
      </c>
      <c r="F683" s="8" t="n">
        <f aca="true">IF(E683="","",ROUND((TODAY()-E683)/7,1))</f>
        <v>14.4</v>
      </c>
      <c r="G683" s="8" t="s">
        <v>52</v>
      </c>
      <c r="H683" s="8"/>
      <c r="I683" s="8" t="s">
        <v>192</v>
      </c>
      <c r="J683" s="8" t="s">
        <v>192</v>
      </c>
      <c r="K683" s="8" t="n">
        <v>1</v>
      </c>
      <c r="L683" s="10"/>
      <c r="M683" s="10"/>
      <c r="N683" s="10"/>
      <c r="O683" s="10"/>
      <c r="P683" s="8" t="str">
        <f aca="false">MID(IF(L683="","","; APP:"&amp;L683)&amp;IF(M683="","","; PS1:"&amp;M683)&amp;IF(N683="","","; AQP4:"&amp;N683)&amp;IF(O683="","","; CAG-EGFP:"&amp;O683),3,200)</f>
        <v/>
      </c>
      <c r="Q683" s="8" t="s">
        <v>82</v>
      </c>
      <c r="R683" s="8" t="s">
        <v>88</v>
      </c>
      <c r="S683" s="8"/>
      <c r="T683" s="11" t="s">
        <v>1006</v>
      </c>
    </row>
    <row r="684" customFormat="false" ht="17.15" hidden="false" customHeight="false" outlineLevel="0" collapsed="false">
      <c r="A684" s="7" t="s">
        <v>1007</v>
      </c>
      <c r="B684" s="8" t="s">
        <v>104</v>
      </c>
      <c r="C684" s="8" t="n">
        <v>171</v>
      </c>
      <c r="D684" s="8" t="s">
        <v>33</v>
      </c>
      <c r="E684" s="9" t="n">
        <v>46086</v>
      </c>
      <c r="F684" s="8" t="n">
        <f aca="true">IF(E684="","",ROUND((TODAY()-E684)/7,1))</f>
        <v>14.4</v>
      </c>
      <c r="G684" s="8" t="s">
        <v>52</v>
      </c>
      <c r="H684" s="8"/>
      <c r="I684" s="8" t="s">
        <v>192</v>
      </c>
      <c r="J684" s="8" t="s">
        <v>192</v>
      </c>
      <c r="K684" s="8" t="n">
        <v>1</v>
      </c>
      <c r="L684" s="10"/>
      <c r="M684" s="10"/>
      <c r="N684" s="10"/>
      <c r="O684" s="10"/>
      <c r="P684" s="8" t="str">
        <f aca="false">MID(IF(L684="","","; APP:"&amp;L684)&amp;IF(M684="","","; PS1:"&amp;M684)&amp;IF(N684="","","; AQP4:"&amp;N684)&amp;IF(O684="","","; CAG-EGFP:"&amp;O684),3,200)</f>
        <v/>
      </c>
      <c r="Q684" s="8" t="s">
        <v>82</v>
      </c>
      <c r="R684" s="8" t="s">
        <v>14</v>
      </c>
      <c r="S684" s="8"/>
      <c r="T684" s="11" t="s">
        <v>1008</v>
      </c>
    </row>
    <row r="685" customFormat="false" ht="17.15" hidden="false" customHeight="false" outlineLevel="0" collapsed="false">
      <c r="A685" s="7" t="s">
        <v>1009</v>
      </c>
      <c r="B685" s="8" t="s">
        <v>104</v>
      </c>
      <c r="C685" s="8" t="n">
        <v>172</v>
      </c>
      <c r="D685" s="8" t="s">
        <v>33</v>
      </c>
      <c r="E685" s="9" t="n">
        <v>46086</v>
      </c>
      <c r="F685" s="8" t="n">
        <f aca="true">IF(E685="","",ROUND((TODAY()-E685)/7,1))</f>
        <v>14.4</v>
      </c>
      <c r="G685" s="8" t="s">
        <v>52</v>
      </c>
      <c r="H685" s="8"/>
      <c r="I685" s="8" t="s">
        <v>192</v>
      </c>
      <c r="J685" s="8" t="s">
        <v>192</v>
      </c>
      <c r="K685" s="8" t="n">
        <v>1</v>
      </c>
      <c r="L685" s="10"/>
      <c r="M685" s="10"/>
      <c r="N685" s="10"/>
      <c r="O685" s="10"/>
      <c r="P685" s="8" t="str">
        <f aca="false">MID(IF(L685="","","; APP:"&amp;L685)&amp;IF(M685="","","; PS1:"&amp;M685)&amp;IF(N685="","","; AQP4:"&amp;N685)&amp;IF(O685="","","; CAG-EGFP:"&amp;O685),3,200)</f>
        <v/>
      </c>
      <c r="Q685" s="8" t="s">
        <v>82</v>
      </c>
      <c r="R685" s="8" t="s">
        <v>14</v>
      </c>
      <c r="S685" s="8"/>
      <c r="T685" s="11" t="s">
        <v>1008</v>
      </c>
    </row>
    <row r="686" customFormat="false" ht="17.15" hidden="false" customHeight="false" outlineLevel="0" collapsed="false">
      <c r="A686" s="7" t="s">
        <v>1010</v>
      </c>
      <c r="B686" s="8" t="s">
        <v>104</v>
      </c>
      <c r="C686" s="8" t="n">
        <v>173</v>
      </c>
      <c r="D686" s="8" t="s">
        <v>33</v>
      </c>
      <c r="E686" s="9" t="n">
        <v>46086</v>
      </c>
      <c r="F686" s="8" t="n">
        <f aca="true">IF(E686="","",ROUND((TODAY()-E686)/7,1))</f>
        <v>14.4</v>
      </c>
      <c r="G686" s="8" t="s">
        <v>52</v>
      </c>
      <c r="H686" s="8"/>
      <c r="I686" s="8" t="s">
        <v>192</v>
      </c>
      <c r="J686" s="8" t="s">
        <v>192</v>
      </c>
      <c r="K686" s="8" t="n">
        <v>1</v>
      </c>
      <c r="L686" s="10"/>
      <c r="M686" s="10"/>
      <c r="N686" s="10"/>
      <c r="O686" s="10"/>
      <c r="P686" s="8" t="str">
        <f aca="false">MID(IF(L686="","","; APP:"&amp;L686)&amp;IF(M686="","","; PS1:"&amp;M686)&amp;IF(N686="","","; AQP4:"&amp;N686)&amp;IF(O686="","","; CAG-EGFP:"&amp;O686),3,200)</f>
        <v/>
      </c>
      <c r="Q686" s="8" t="s">
        <v>82</v>
      </c>
      <c r="R686" s="8" t="s">
        <v>88</v>
      </c>
      <c r="S686" s="8"/>
      <c r="T686" s="11" t="s">
        <v>1006</v>
      </c>
    </row>
    <row r="687" customFormat="false" ht="17.15" hidden="false" customHeight="false" outlineLevel="0" collapsed="false">
      <c r="A687" s="7" t="s">
        <v>1011</v>
      </c>
      <c r="B687" s="8" t="s">
        <v>104</v>
      </c>
      <c r="C687" s="8" t="n">
        <v>174</v>
      </c>
      <c r="D687" s="8" t="s">
        <v>33</v>
      </c>
      <c r="E687" s="9" t="n">
        <v>46086</v>
      </c>
      <c r="F687" s="8" t="n">
        <f aca="true">IF(E687="","",ROUND((TODAY()-E687)/7,1))</f>
        <v>14.4</v>
      </c>
      <c r="G687" s="8" t="s">
        <v>52</v>
      </c>
      <c r="H687" s="8"/>
      <c r="I687" s="8" t="s">
        <v>192</v>
      </c>
      <c r="J687" s="8" t="s">
        <v>192</v>
      </c>
      <c r="K687" s="8" t="n">
        <v>1</v>
      </c>
      <c r="L687" s="10"/>
      <c r="M687" s="10"/>
      <c r="N687" s="10"/>
      <c r="O687" s="10"/>
      <c r="P687" s="8" t="str">
        <f aca="false">MID(IF(L687="","","; APP:"&amp;L687)&amp;IF(M687="","","; PS1:"&amp;M687)&amp;IF(N687="","","; AQP4:"&amp;N687)&amp;IF(O687="","","; CAG-EGFP:"&amp;O687),3,200)</f>
        <v/>
      </c>
      <c r="Q687" s="8" t="s">
        <v>82</v>
      </c>
      <c r="R687" s="8" t="s">
        <v>88</v>
      </c>
      <c r="S687" s="8"/>
      <c r="T687" s="11" t="s">
        <v>1006</v>
      </c>
    </row>
    <row r="688" customFormat="false" ht="17.15" hidden="false" customHeight="false" outlineLevel="0" collapsed="false">
      <c r="A688" s="7" t="s">
        <v>1012</v>
      </c>
      <c r="B688" s="8" t="s">
        <v>104</v>
      </c>
      <c r="C688" s="8" t="n">
        <v>175</v>
      </c>
      <c r="D688" s="8" t="s">
        <v>33</v>
      </c>
      <c r="E688" s="9" t="n">
        <v>46086</v>
      </c>
      <c r="F688" s="8" t="n">
        <f aca="true">IF(E688="","",ROUND((TODAY()-E688)/7,1))</f>
        <v>14.4</v>
      </c>
      <c r="G688" s="8" t="s">
        <v>52</v>
      </c>
      <c r="H688" s="8"/>
      <c r="I688" s="8" t="s">
        <v>192</v>
      </c>
      <c r="J688" s="8" t="s">
        <v>192</v>
      </c>
      <c r="K688" s="8" t="n">
        <v>1</v>
      </c>
      <c r="L688" s="10"/>
      <c r="M688" s="10"/>
      <c r="N688" s="10"/>
      <c r="O688" s="10"/>
      <c r="P688" s="8" t="str">
        <f aca="false">MID(IF(L688="","","; APP:"&amp;L688)&amp;IF(M688="","","; PS1:"&amp;M688)&amp;IF(N688="","","; AQP4:"&amp;N688)&amp;IF(O688="","","; CAG-EGFP:"&amp;O688),3,200)</f>
        <v/>
      </c>
      <c r="Q688" s="8" t="s">
        <v>82</v>
      </c>
      <c r="R688" s="8" t="s">
        <v>14</v>
      </c>
      <c r="S688" s="8"/>
      <c r="T688" s="11" t="s">
        <v>1008</v>
      </c>
    </row>
    <row r="689" customFormat="false" ht="17.15" hidden="false" customHeight="false" outlineLevel="0" collapsed="false">
      <c r="A689" s="7" t="s">
        <v>1013</v>
      </c>
      <c r="B689" s="8" t="s">
        <v>104</v>
      </c>
      <c r="C689" s="8" t="n">
        <v>176</v>
      </c>
      <c r="D689" s="8" t="s">
        <v>33</v>
      </c>
      <c r="E689" s="9" t="n">
        <v>46086</v>
      </c>
      <c r="F689" s="8" t="n">
        <f aca="true">IF(E689="","",ROUND((TODAY()-E689)/7,1))</f>
        <v>14.4</v>
      </c>
      <c r="G689" s="8" t="s">
        <v>52</v>
      </c>
      <c r="H689" s="8"/>
      <c r="I689" s="8" t="s">
        <v>192</v>
      </c>
      <c r="J689" s="8" t="s">
        <v>192</v>
      </c>
      <c r="K689" s="8" t="n">
        <v>1</v>
      </c>
      <c r="L689" s="10"/>
      <c r="M689" s="10"/>
      <c r="N689" s="10"/>
      <c r="O689" s="10"/>
      <c r="P689" s="8" t="str">
        <f aca="false">MID(IF(L689="","","; APP:"&amp;L689)&amp;IF(M689="","","; PS1:"&amp;M689)&amp;IF(N689="","","; AQP4:"&amp;N689)&amp;IF(O689="","","; CAG-EGFP:"&amp;O689),3,200)</f>
        <v/>
      </c>
      <c r="Q689" s="8" t="s">
        <v>82</v>
      </c>
      <c r="R689" s="8" t="s">
        <v>14</v>
      </c>
      <c r="S689" s="8"/>
      <c r="T689" s="11" t="s">
        <v>1008</v>
      </c>
    </row>
    <row r="690" customFormat="false" ht="17.15" hidden="false" customHeight="false" outlineLevel="0" collapsed="false">
      <c r="A690" s="7" t="s">
        <v>1014</v>
      </c>
      <c r="B690" s="8" t="s">
        <v>104</v>
      </c>
      <c r="C690" s="8" t="n">
        <v>177</v>
      </c>
      <c r="D690" s="8" t="s">
        <v>33</v>
      </c>
      <c r="E690" s="9" t="n">
        <v>46086</v>
      </c>
      <c r="F690" s="8" t="n">
        <f aca="true">IF(E690="","",ROUND((TODAY()-E690)/7,1))</f>
        <v>14.4</v>
      </c>
      <c r="G690" s="8" t="s">
        <v>52</v>
      </c>
      <c r="H690" s="8"/>
      <c r="I690" s="8" t="s">
        <v>192</v>
      </c>
      <c r="J690" s="8" t="s">
        <v>192</v>
      </c>
      <c r="K690" s="8" t="n">
        <v>1</v>
      </c>
      <c r="L690" s="10"/>
      <c r="M690" s="10"/>
      <c r="N690" s="10"/>
      <c r="O690" s="10"/>
      <c r="P690" s="8" t="str">
        <f aca="false">MID(IF(L690="","","; APP:"&amp;L690)&amp;IF(M690="","","; PS1:"&amp;M690)&amp;IF(N690="","","; AQP4:"&amp;N690)&amp;IF(O690="","","; CAG-EGFP:"&amp;O690),3,200)</f>
        <v/>
      </c>
      <c r="Q690" s="8" t="s">
        <v>82</v>
      </c>
      <c r="R690" s="8" t="s">
        <v>88</v>
      </c>
      <c r="S690" s="8"/>
      <c r="T690" s="11" t="s">
        <v>1006</v>
      </c>
    </row>
    <row r="691" customFormat="false" ht="17.15" hidden="false" customHeight="false" outlineLevel="0" collapsed="false">
      <c r="A691" s="7" t="s">
        <v>1015</v>
      </c>
      <c r="B691" s="8" t="s">
        <v>104</v>
      </c>
      <c r="C691" s="8" t="n">
        <v>178</v>
      </c>
      <c r="D691" s="8" t="s">
        <v>33</v>
      </c>
      <c r="E691" s="9" t="n">
        <v>46086</v>
      </c>
      <c r="F691" s="8" t="n">
        <f aca="true">IF(E691="","",ROUND((TODAY()-E691)/7,1))</f>
        <v>14.4</v>
      </c>
      <c r="G691" s="8" t="s">
        <v>52</v>
      </c>
      <c r="H691" s="8"/>
      <c r="I691" s="8" t="s">
        <v>192</v>
      </c>
      <c r="J691" s="8" t="s">
        <v>192</v>
      </c>
      <c r="K691" s="8" t="n">
        <v>1</v>
      </c>
      <c r="L691" s="10"/>
      <c r="M691" s="10"/>
      <c r="N691" s="10"/>
      <c r="O691" s="10"/>
      <c r="P691" s="8" t="str">
        <f aca="false">MID(IF(L691="","","; APP:"&amp;L691)&amp;IF(M691="","","; PS1:"&amp;M691)&amp;IF(N691="","","; AQP4:"&amp;N691)&amp;IF(O691="","","; CAG-EGFP:"&amp;O691),3,200)</f>
        <v/>
      </c>
      <c r="Q691" s="8" t="s">
        <v>82</v>
      </c>
      <c r="R691" s="8" t="s">
        <v>14</v>
      </c>
      <c r="S691" s="8"/>
      <c r="T691" s="11" t="s">
        <v>1008</v>
      </c>
    </row>
    <row r="692" customFormat="false" ht="17.15" hidden="false" customHeight="false" outlineLevel="0" collapsed="false">
      <c r="A692" s="7" t="s">
        <v>1016</v>
      </c>
      <c r="B692" s="8" t="s">
        <v>104</v>
      </c>
      <c r="C692" s="8" t="n">
        <v>179</v>
      </c>
      <c r="D692" s="8" t="s">
        <v>33</v>
      </c>
      <c r="E692" s="9" t="n">
        <v>46086</v>
      </c>
      <c r="F692" s="8" t="n">
        <f aca="true">IF(E692="","",ROUND((TODAY()-E692)/7,1))</f>
        <v>14.4</v>
      </c>
      <c r="G692" s="8" t="s">
        <v>52</v>
      </c>
      <c r="H692" s="8"/>
      <c r="I692" s="8" t="s">
        <v>192</v>
      </c>
      <c r="J692" s="8" t="s">
        <v>192</v>
      </c>
      <c r="K692" s="8" t="n">
        <v>1</v>
      </c>
      <c r="L692" s="10"/>
      <c r="M692" s="10"/>
      <c r="N692" s="10"/>
      <c r="O692" s="10"/>
      <c r="P692" s="8" t="str">
        <f aca="false">MID(IF(L692="","","; APP:"&amp;L692)&amp;IF(M692="","","; PS1:"&amp;M692)&amp;IF(N692="","","; AQP4:"&amp;N692)&amp;IF(O692="","","; CAG-EGFP:"&amp;O692),3,200)</f>
        <v/>
      </c>
      <c r="Q692" s="8" t="s">
        <v>82</v>
      </c>
      <c r="R692" s="8" t="s">
        <v>88</v>
      </c>
      <c r="S692" s="8"/>
      <c r="T692" s="11" t="s">
        <v>1006</v>
      </c>
    </row>
    <row r="693" customFormat="false" ht="17.15" hidden="false" customHeight="false" outlineLevel="0" collapsed="false">
      <c r="A693" s="7" t="s">
        <v>1017</v>
      </c>
      <c r="B693" s="8" t="s">
        <v>104</v>
      </c>
      <c r="C693" s="8" t="n">
        <v>180</v>
      </c>
      <c r="D693" s="8" t="s">
        <v>33</v>
      </c>
      <c r="E693" s="9" t="n">
        <v>46086</v>
      </c>
      <c r="F693" s="8" t="n">
        <f aca="true">IF(E693="","",ROUND((TODAY()-E693)/7,1))</f>
        <v>14.4</v>
      </c>
      <c r="G693" s="8" t="s">
        <v>52</v>
      </c>
      <c r="H693" s="8"/>
      <c r="I693" s="8" t="s">
        <v>192</v>
      </c>
      <c r="J693" s="8" t="s">
        <v>192</v>
      </c>
      <c r="K693" s="8" t="n">
        <v>1</v>
      </c>
      <c r="L693" s="10"/>
      <c r="M693" s="10"/>
      <c r="N693" s="10"/>
      <c r="O693" s="10"/>
      <c r="P693" s="8" t="str">
        <f aca="false">MID(IF(L693="","","; APP:"&amp;L693)&amp;IF(M693="","","; PS1:"&amp;M693)&amp;IF(N693="","","; AQP4:"&amp;N693)&amp;IF(O693="","","; CAG-EGFP:"&amp;O693),3,200)</f>
        <v/>
      </c>
      <c r="Q693" s="8" t="s">
        <v>82</v>
      </c>
      <c r="R693" s="8" t="s">
        <v>88</v>
      </c>
      <c r="S693" s="8"/>
      <c r="T693" s="11" t="s">
        <v>1006</v>
      </c>
    </row>
    <row r="694" customFormat="false" ht="17.15" hidden="false" customHeight="false" outlineLevel="0" collapsed="false">
      <c r="A694" s="7" t="s">
        <v>1018</v>
      </c>
      <c r="B694" s="8" t="s">
        <v>104</v>
      </c>
      <c r="C694" s="8" t="n">
        <v>181</v>
      </c>
      <c r="D694" s="8" t="s">
        <v>46</v>
      </c>
      <c r="E694" s="9" t="n">
        <v>46078</v>
      </c>
      <c r="F694" s="8" t="n">
        <f aca="true">IF(E694="","",ROUND((TODAY()-E694)/7,1))</f>
        <v>15.6</v>
      </c>
      <c r="G694" s="8" t="s">
        <v>52</v>
      </c>
      <c r="H694" s="8"/>
      <c r="I694" s="8" t="s">
        <v>192</v>
      </c>
      <c r="J694" s="8" t="s">
        <v>192</v>
      </c>
      <c r="K694" s="8" t="n">
        <v>1</v>
      </c>
      <c r="L694" s="10"/>
      <c r="M694" s="10"/>
      <c r="N694" s="10"/>
      <c r="O694" s="10"/>
      <c r="P694" s="8" t="str">
        <f aca="false">MID(IF(L694="","","; APP:"&amp;L694)&amp;IF(M694="","","; PS1:"&amp;M694)&amp;IF(N694="","","; AQP4:"&amp;N694)&amp;IF(O694="","","; CAG-EGFP:"&amp;O694),3,200)</f>
        <v/>
      </c>
      <c r="Q694" s="8" t="s">
        <v>82</v>
      </c>
      <c r="R694" s="8" t="s">
        <v>63</v>
      </c>
      <c r="S694" s="8"/>
      <c r="T694" s="11" t="s">
        <v>1019</v>
      </c>
    </row>
    <row r="695" customFormat="false" ht="17.15" hidden="false" customHeight="false" outlineLevel="0" collapsed="false">
      <c r="A695" s="7" t="s">
        <v>1020</v>
      </c>
      <c r="B695" s="8" t="s">
        <v>104</v>
      </c>
      <c r="C695" s="8" t="n">
        <v>182</v>
      </c>
      <c r="D695" s="8" t="s">
        <v>46</v>
      </c>
      <c r="E695" s="9" t="n">
        <v>46078</v>
      </c>
      <c r="F695" s="8" t="n">
        <f aca="true">IF(E695="","",ROUND((TODAY()-E695)/7,1))</f>
        <v>15.6</v>
      </c>
      <c r="G695" s="8" t="s">
        <v>52</v>
      </c>
      <c r="H695" s="8"/>
      <c r="I695" s="8" t="s">
        <v>192</v>
      </c>
      <c r="J695" s="8" t="s">
        <v>192</v>
      </c>
      <c r="K695" s="8" t="n">
        <v>1</v>
      </c>
      <c r="L695" s="10"/>
      <c r="M695" s="10"/>
      <c r="N695" s="10"/>
      <c r="O695" s="10"/>
      <c r="P695" s="8" t="str">
        <f aca="false">MID(IF(L695="","","; APP:"&amp;L695)&amp;IF(M695="","","; PS1:"&amp;M695)&amp;IF(N695="","","; AQP4:"&amp;N695)&amp;IF(O695="","","; CAG-EGFP:"&amp;O695),3,200)</f>
        <v/>
      </c>
      <c r="Q695" s="8" t="s">
        <v>82</v>
      </c>
      <c r="R695" s="8" t="s">
        <v>63</v>
      </c>
      <c r="S695" s="8"/>
      <c r="T695" s="11" t="s">
        <v>1019</v>
      </c>
    </row>
    <row r="696" customFormat="false" ht="17.15" hidden="false" customHeight="false" outlineLevel="0" collapsed="false">
      <c r="A696" s="7" t="s">
        <v>1021</v>
      </c>
      <c r="B696" s="8" t="s">
        <v>104</v>
      </c>
      <c r="C696" s="8" t="n">
        <v>183</v>
      </c>
      <c r="D696" s="8" t="s">
        <v>46</v>
      </c>
      <c r="E696" s="9" t="n">
        <v>46078</v>
      </c>
      <c r="F696" s="8" t="n">
        <f aca="true">IF(E696="","",ROUND((TODAY()-E696)/7,1))</f>
        <v>15.6</v>
      </c>
      <c r="G696" s="8" t="s">
        <v>52</v>
      </c>
      <c r="H696" s="8"/>
      <c r="I696" s="8" t="s">
        <v>192</v>
      </c>
      <c r="J696" s="8" t="s">
        <v>192</v>
      </c>
      <c r="K696" s="8" t="n">
        <v>1</v>
      </c>
      <c r="L696" s="10"/>
      <c r="M696" s="10"/>
      <c r="N696" s="10"/>
      <c r="O696" s="10"/>
      <c r="P696" s="8" t="str">
        <f aca="false">MID(IF(L696="","","; APP:"&amp;L696)&amp;IF(M696="","","; PS1:"&amp;M696)&amp;IF(N696="","","; AQP4:"&amp;N696)&amp;IF(O696="","","; CAG-EGFP:"&amp;O696),3,200)</f>
        <v/>
      </c>
      <c r="Q696" s="8" t="s">
        <v>82</v>
      </c>
      <c r="R696" s="8" t="s">
        <v>88</v>
      </c>
      <c r="S696" s="8"/>
      <c r="T696" s="11" t="s">
        <v>1022</v>
      </c>
    </row>
    <row r="697" customFormat="false" ht="17.15" hidden="false" customHeight="false" outlineLevel="0" collapsed="false">
      <c r="A697" s="7" t="s">
        <v>1023</v>
      </c>
      <c r="B697" s="8" t="s">
        <v>104</v>
      </c>
      <c r="C697" s="8" t="n">
        <v>184</v>
      </c>
      <c r="D697" s="8" t="s">
        <v>46</v>
      </c>
      <c r="E697" s="9" t="n">
        <v>46078</v>
      </c>
      <c r="F697" s="8" t="n">
        <f aca="true">IF(E697="","",ROUND((TODAY()-E697)/7,1))</f>
        <v>15.6</v>
      </c>
      <c r="G697" s="8" t="s">
        <v>52</v>
      </c>
      <c r="H697" s="8"/>
      <c r="I697" s="8" t="s">
        <v>192</v>
      </c>
      <c r="J697" s="8" t="s">
        <v>192</v>
      </c>
      <c r="K697" s="8" t="n">
        <v>1</v>
      </c>
      <c r="L697" s="10"/>
      <c r="M697" s="10"/>
      <c r="N697" s="10"/>
      <c r="O697" s="10"/>
      <c r="P697" s="8" t="str">
        <f aca="false">MID(IF(L697="","","; APP:"&amp;L697)&amp;IF(M697="","","; PS1:"&amp;M697)&amp;IF(N697="","","; AQP4:"&amp;N697)&amp;IF(O697="","","; CAG-EGFP:"&amp;O697),3,200)</f>
        <v/>
      </c>
      <c r="Q697" s="8" t="s">
        <v>82</v>
      </c>
      <c r="R697" s="8" t="s">
        <v>14</v>
      </c>
      <c r="S697" s="8"/>
      <c r="T697" s="11" t="s">
        <v>1022</v>
      </c>
    </row>
    <row r="698" customFormat="false" ht="17.15" hidden="false" customHeight="false" outlineLevel="0" collapsed="false">
      <c r="A698" s="7" t="s">
        <v>1024</v>
      </c>
      <c r="B698" s="8" t="s">
        <v>104</v>
      </c>
      <c r="C698" s="8" t="n">
        <v>185</v>
      </c>
      <c r="D698" s="8" t="s">
        <v>46</v>
      </c>
      <c r="E698" s="9" t="n">
        <v>46078</v>
      </c>
      <c r="F698" s="8" t="n">
        <f aca="true">IF(E698="","",ROUND((TODAY()-E698)/7,1))</f>
        <v>15.6</v>
      </c>
      <c r="G698" s="8" t="s">
        <v>52</v>
      </c>
      <c r="H698" s="8"/>
      <c r="I698" s="8" t="s">
        <v>192</v>
      </c>
      <c r="J698" s="8" t="s">
        <v>192</v>
      </c>
      <c r="K698" s="8" t="n">
        <v>1</v>
      </c>
      <c r="L698" s="10"/>
      <c r="M698" s="10"/>
      <c r="N698" s="10"/>
      <c r="O698" s="10"/>
      <c r="P698" s="8" t="str">
        <f aca="false">MID(IF(L698="","","; APP:"&amp;L698)&amp;IF(M698="","","; PS1:"&amp;M698)&amp;IF(N698="","","; AQP4:"&amp;N698)&amp;IF(O698="","","; CAG-EGFP:"&amp;O698),3,200)</f>
        <v/>
      </c>
      <c r="Q698" s="8" t="s">
        <v>82</v>
      </c>
      <c r="R698" s="8" t="s">
        <v>14</v>
      </c>
      <c r="S698" s="8"/>
      <c r="T698" s="11" t="s">
        <v>1022</v>
      </c>
    </row>
    <row r="699" customFormat="false" ht="17.15" hidden="false" customHeight="false" outlineLevel="0" collapsed="false">
      <c r="A699" s="7" t="s">
        <v>1025</v>
      </c>
      <c r="B699" s="8" t="s">
        <v>104</v>
      </c>
      <c r="C699" s="8" t="n">
        <v>186</v>
      </c>
      <c r="D699" s="8" t="s">
        <v>46</v>
      </c>
      <c r="E699" s="9" t="n">
        <v>46078</v>
      </c>
      <c r="F699" s="8" t="n">
        <f aca="true">IF(E699="","",ROUND((TODAY()-E699)/7,1))</f>
        <v>15.6</v>
      </c>
      <c r="G699" s="8" t="s">
        <v>52</v>
      </c>
      <c r="H699" s="8"/>
      <c r="I699" s="8" t="s">
        <v>192</v>
      </c>
      <c r="J699" s="8" t="s">
        <v>192</v>
      </c>
      <c r="K699" s="8" t="n">
        <v>1</v>
      </c>
      <c r="L699" s="10"/>
      <c r="M699" s="10"/>
      <c r="N699" s="10"/>
      <c r="O699" s="10"/>
      <c r="P699" s="8" t="str">
        <f aca="false">MID(IF(L699="","","; APP:"&amp;L699)&amp;IF(M699="","","; PS1:"&amp;M699)&amp;IF(N699="","","; AQP4:"&amp;N699)&amp;IF(O699="","","; CAG-EGFP:"&amp;O699),3,200)</f>
        <v/>
      </c>
      <c r="Q699" s="8" t="s">
        <v>82</v>
      </c>
      <c r="R699" s="8" t="s">
        <v>14</v>
      </c>
      <c r="S699" s="8"/>
      <c r="T699" s="11" t="s">
        <v>1022</v>
      </c>
    </row>
    <row r="700" customFormat="false" ht="17.15" hidden="false" customHeight="false" outlineLevel="0" collapsed="false">
      <c r="A700" s="7" t="s">
        <v>1026</v>
      </c>
      <c r="B700" s="8" t="s">
        <v>104</v>
      </c>
      <c r="C700" s="8" t="n">
        <v>187</v>
      </c>
      <c r="D700" s="8" t="s">
        <v>33</v>
      </c>
      <c r="E700" s="9" t="n">
        <v>46127</v>
      </c>
      <c r="F700" s="8" t="n">
        <f aca="true">IF(E700="","",ROUND((TODAY()-E700)/7,1))</f>
        <v>8.6</v>
      </c>
      <c r="G700" s="8" t="s">
        <v>52</v>
      </c>
      <c r="H700" s="8"/>
      <c r="I700" s="8" t="s">
        <v>192</v>
      </c>
      <c r="J700" s="8" t="s">
        <v>192</v>
      </c>
      <c r="K700" s="8" t="n">
        <v>1</v>
      </c>
      <c r="L700" s="10"/>
      <c r="M700" s="10"/>
      <c r="N700" s="10"/>
      <c r="O700" s="10"/>
      <c r="P700" s="8" t="str">
        <f aca="false">MID(IF(L700="","","; APP:"&amp;L700)&amp;IF(M700="","","; PS1:"&amp;M700)&amp;IF(N700="","","; AQP4:"&amp;N700)&amp;IF(O700="","","; CAG-EGFP:"&amp;O700),3,200)</f>
        <v/>
      </c>
      <c r="Q700" s="8" t="s">
        <v>82</v>
      </c>
      <c r="R700" s="8" t="s">
        <v>14</v>
      </c>
      <c r="S700" s="8"/>
      <c r="T700" s="11" t="s">
        <v>1027</v>
      </c>
    </row>
    <row r="701" customFormat="false" ht="17.15" hidden="false" customHeight="false" outlineLevel="0" collapsed="false">
      <c r="A701" s="7" t="s">
        <v>1028</v>
      </c>
      <c r="B701" s="8" t="s">
        <v>104</v>
      </c>
      <c r="C701" s="8" t="n">
        <v>188</v>
      </c>
      <c r="D701" s="8" t="s">
        <v>33</v>
      </c>
      <c r="E701" s="9" t="n">
        <v>46127</v>
      </c>
      <c r="F701" s="8" t="n">
        <f aca="true">IF(E701="","",ROUND((TODAY()-E701)/7,1))</f>
        <v>8.6</v>
      </c>
      <c r="G701" s="8" t="s">
        <v>52</v>
      </c>
      <c r="H701" s="8"/>
      <c r="I701" s="8" t="s">
        <v>192</v>
      </c>
      <c r="J701" s="8" t="s">
        <v>192</v>
      </c>
      <c r="K701" s="8" t="n">
        <v>1</v>
      </c>
      <c r="L701" s="10"/>
      <c r="M701" s="10"/>
      <c r="N701" s="10"/>
      <c r="O701" s="10"/>
      <c r="P701" s="8" t="str">
        <f aca="false">MID(IF(L701="","","; APP:"&amp;L701)&amp;IF(M701="","","; PS1:"&amp;M701)&amp;IF(N701="","","; AQP4:"&amp;N701)&amp;IF(O701="","","; CAG-EGFP:"&amp;O701),3,200)</f>
        <v/>
      </c>
      <c r="Q701" s="8" t="s">
        <v>82</v>
      </c>
      <c r="R701" s="8" t="s">
        <v>88</v>
      </c>
      <c r="S701" s="8"/>
      <c r="T701" s="11" t="s">
        <v>1029</v>
      </c>
    </row>
    <row r="702" customFormat="false" ht="17.15" hidden="false" customHeight="false" outlineLevel="0" collapsed="false">
      <c r="A702" s="7" t="s">
        <v>1030</v>
      </c>
      <c r="B702" s="8" t="s">
        <v>104</v>
      </c>
      <c r="C702" s="8" t="n">
        <v>189</v>
      </c>
      <c r="D702" s="8" t="s">
        <v>33</v>
      </c>
      <c r="E702" s="9" t="n">
        <v>46127</v>
      </c>
      <c r="F702" s="8" t="n">
        <f aca="true">IF(E702="","",ROUND((TODAY()-E702)/7,1))</f>
        <v>8.6</v>
      </c>
      <c r="G702" s="8" t="s">
        <v>52</v>
      </c>
      <c r="H702" s="8"/>
      <c r="I702" s="8" t="s">
        <v>192</v>
      </c>
      <c r="J702" s="8" t="s">
        <v>192</v>
      </c>
      <c r="K702" s="8" t="n">
        <v>1</v>
      </c>
      <c r="L702" s="10"/>
      <c r="M702" s="10"/>
      <c r="N702" s="10"/>
      <c r="O702" s="10"/>
      <c r="P702" s="8" t="str">
        <f aca="false">MID(IF(L702="","","; APP:"&amp;L702)&amp;IF(M702="","","; PS1:"&amp;M702)&amp;IF(N702="","","; AQP4:"&amp;N702)&amp;IF(O702="","","; CAG-EGFP:"&amp;O702),3,200)</f>
        <v/>
      </c>
      <c r="Q702" s="8" t="s">
        <v>82</v>
      </c>
      <c r="R702" s="8" t="s">
        <v>14</v>
      </c>
      <c r="S702" s="8"/>
      <c r="T702" s="11" t="s">
        <v>1027</v>
      </c>
    </row>
    <row r="703" customFormat="false" ht="17.15" hidden="false" customHeight="false" outlineLevel="0" collapsed="false">
      <c r="A703" s="7" t="s">
        <v>1031</v>
      </c>
      <c r="B703" s="8" t="s">
        <v>104</v>
      </c>
      <c r="C703" s="8" t="n">
        <v>190</v>
      </c>
      <c r="D703" s="8" t="s">
        <v>33</v>
      </c>
      <c r="E703" s="9" t="n">
        <v>46127</v>
      </c>
      <c r="F703" s="8" t="n">
        <f aca="true">IF(E703="","",ROUND((TODAY()-E703)/7,1))</f>
        <v>8.6</v>
      </c>
      <c r="G703" s="8" t="s">
        <v>52</v>
      </c>
      <c r="H703" s="8"/>
      <c r="I703" s="8" t="s">
        <v>192</v>
      </c>
      <c r="J703" s="8" t="s">
        <v>192</v>
      </c>
      <c r="K703" s="8" t="n">
        <v>1</v>
      </c>
      <c r="L703" s="10"/>
      <c r="M703" s="10"/>
      <c r="N703" s="10"/>
      <c r="O703" s="10"/>
      <c r="P703" s="8" t="str">
        <f aca="false">MID(IF(L703="","","; APP:"&amp;L703)&amp;IF(M703="","","; PS1:"&amp;M703)&amp;IF(N703="","","; AQP4:"&amp;N703)&amp;IF(O703="","","; CAG-EGFP:"&amp;O703),3,200)</f>
        <v/>
      </c>
      <c r="Q703" s="8" t="s">
        <v>82</v>
      </c>
      <c r="R703" s="8" t="s">
        <v>14</v>
      </c>
      <c r="S703" s="8"/>
      <c r="T703" s="11" t="s">
        <v>1029</v>
      </c>
    </row>
    <row r="704" customFormat="false" ht="17.15" hidden="false" customHeight="false" outlineLevel="0" collapsed="false">
      <c r="A704" s="7" t="s">
        <v>1032</v>
      </c>
      <c r="B704" s="8" t="s">
        <v>104</v>
      </c>
      <c r="C704" s="8" t="n">
        <v>191</v>
      </c>
      <c r="D704" s="8" t="s">
        <v>33</v>
      </c>
      <c r="E704" s="9" t="n">
        <v>46127</v>
      </c>
      <c r="F704" s="8" t="n">
        <f aca="true">IF(E704="","",ROUND((TODAY()-E704)/7,1))</f>
        <v>8.6</v>
      </c>
      <c r="G704" s="8" t="s">
        <v>52</v>
      </c>
      <c r="H704" s="8"/>
      <c r="I704" s="8" t="s">
        <v>192</v>
      </c>
      <c r="J704" s="8" t="s">
        <v>192</v>
      </c>
      <c r="K704" s="8" t="n">
        <v>1</v>
      </c>
      <c r="L704" s="10"/>
      <c r="M704" s="10"/>
      <c r="N704" s="10"/>
      <c r="O704" s="10"/>
      <c r="P704" s="8" t="str">
        <f aca="false">MID(IF(L704="","","; APP:"&amp;L704)&amp;IF(M704="","","; PS1:"&amp;M704)&amp;IF(N704="","","; AQP4:"&amp;N704)&amp;IF(O704="","","; CAG-EGFP:"&amp;O704),3,200)</f>
        <v/>
      </c>
      <c r="Q704" s="8" t="s">
        <v>82</v>
      </c>
      <c r="R704" s="8" t="s">
        <v>14</v>
      </c>
      <c r="S704" s="8"/>
      <c r="T704" s="11" t="s">
        <v>1029</v>
      </c>
    </row>
    <row r="705" customFormat="false" ht="17.15" hidden="false" customHeight="false" outlineLevel="0" collapsed="false">
      <c r="A705" s="7" t="s">
        <v>1033</v>
      </c>
      <c r="B705" s="8" t="s">
        <v>104</v>
      </c>
      <c r="C705" s="8" t="n">
        <v>192</v>
      </c>
      <c r="D705" s="8" t="s">
        <v>33</v>
      </c>
      <c r="E705" s="9" t="n">
        <v>46127</v>
      </c>
      <c r="F705" s="8" t="n">
        <f aca="true">IF(E705="","",ROUND((TODAY()-E705)/7,1))</f>
        <v>8.6</v>
      </c>
      <c r="G705" s="8" t="s">
        <v>52</v>
      </c>
      <c r="H705" s="8"/>
      <c r="I705" s="8" t="s">
        <v>192</v>
      </c>
      <c r="J705" s="8" t="s">
        <v>192</v>
      </c>
      <c r="K705" s="8" t="n">
        <v>1</v>
      </c>
      <c r="L705" s="10"/>
      <c r="M705" s="10"/>
      <c r="N705" s="10"/>
      <c r="O705" s="10"/>
      <c r="P705" s="8" t="str">
        <f aca="false">MID(IF(L705="","","; APP:"&amp;L705)&amp;IF(M705="","","; PS1:"&amp;M705)&amp;IF(N705="","","; AQP4:"&amp;N705)&amp;IF(O705="","","; CAG-EGFP:"&amp;O705),3,200)</f>
        <v/>
      </c>
      <c r="Q705" s="8" t="s">
        <v>82</v>
      </c>
      <c r="R705" s="8" t="s">
        <v>14</v>
      </c>
      <c r="S705" s="8"/>
      <c r="T705" s="11" t="s">
        <v>1029</v>
      </c>
    </row>
    <row r="706" customFormat="false" ht="15" hidden="false" customHeight="false" outlineLevel="0" collapsed="false">
      <c r="A706" s="7" t="s">
        <v>1034</v>
      </c>
      <c r="B706" s="8" t="s">
        <v>104</v>
      </c>
      <c r="C706" s="8" t="n">
        <v>1</v>
      </c>
      <c r="D706" s="8" t="s">
        <v>33</v>
      </c>
      <c r="E706" s="9" t="n">
        <v>45238</v>
      </c>
      <c r="F706" s="8" t="n">
        <f aca="true">IF(E706="","",ROUND((TODAY()-E706)/7,1))</f>
        <v>135.6</v>
      </c>
      <c r="G706" s="8" t="s">
        <v>38</v>
      </c>
      <c r="H706" s="8"/>
      <c r="I706" s="8" t="s">
        <v>192</v>
      </c>
      <c r="J706" s="8" t="s">
        <v>192</v>
      </c>
      <c r="K706" s="8" t="n">
        <v>2</v>
      </c>
      <c r="L706" s="10"/>
      <c r="M706" s="10"/>
      <c r="N706" s="10"/>
      <c r="O706" s="10"/>
      <c r="P706" s="8" t="str">
        <f aca="false">MID(IF(L706="","","; APP:"&amp;L706)&amp;IF(M706="","","; PS1:"&amp;M706)&amp;IF(N706="","","; AQP4:"&amp;N706)&amp;IF(O706="","","; CAG-EGFP:"&amp;O706),3,200)</f>
        <v/>
      </c>
      <c r="Q706" s="8" t="s">
        <v>82</v>
      </c>
      <c r="R706" s="8" t="s">
        <v>88</v>
      </c>
      <c r="S706" s="8"/>
      <c r="T706" s="8"/>
    </row>
    <row r="707" customFormat="false" ht="15" hidden="false" customHeight="false" outlineLevel="0" collapsed="false">
      <c r="A707" s="7" t="s">
        <v>1035</v>
      </c>
      <c r="B707" s="8" t="s">
        <v>104</v>
      </c>
      <c r="C707" s="8" t="n">
        <v>2</v>
      </c>
      <c r="D707" s="8" t="s">
        <v>33</v>
      </c>
      <c r="E707" s="9" t="n">
        <v>45238</v>
      </c>
      <c r="F707" s="8" t="n">
        <f aca="true">IF(E707="","",ROUND((TODAY()-E707)/7,1))</f>
        <v>135.6</v>
      </c>
      <c r="G707" s="8" t="s">
        <v>38</v>
      </c>
      <c r="H707" s="8"/>
      <c r="I707" s="8" t="s">
        <v>192</v>
      </c>
      <c r="J707" s="8" t="s">
        <v>192</v>
      </c>
      <c r="K707" s="8" t="n">
        <v>2</v>
      </c>
      <c r="L707" s="10"/>
      <c r="M707" s="10"/>
      <c r="N707" s="10"/>
      <c r="O707" s="10"/>
      <c r="P707" s="8" t="str">
        <f aca="false">MID(IF(L707="","","; APP:"&amp;L707)&amp;IF(M707="","","; PS1:"&amp;M707)&amp;IF(N707="","","; AQP4:"&amp;N707)&amp;IF(O707="","","; CAG-EGFP:"&amp;O707),3,200)</f>
        <v/>
      </c>
      <c r="Q707" s="8" t="s">
        <v>82</v>
      </c>
      <c r="R707" s="8" t="s">
        <v>88</v>
      </c>
      <c r="S707" s="8"/>
      <c r="T707" s="8"/>
    </row>
    <row r="708" customFormat="false" ht="17.15" hidden="false" customHeight="false" outlineLevel="0" collapsed="false">
      <c r="A708" s="7" t="s">
        <v>1036</v>
      </c>
      <c r="B708" s="8" t="s">
        <v>104</v>
      </c>
      <c r="C708" s="8" t="n">
        <v>3</v>
      </c>
      <c r="D708" s="8" t="s">
        <v>33</v>
      </c>
      <c r="E708" s="9" t="n">
        <v>45238</v>
      </c>
      <c r="F708" s="8" t="n">
        <f aca="true">IF(E708="","",ROUND((TODAY()-E708)/7,1))</f>
        <v>135.6</v>
      </c>
      <c r="G708" s="8" t="s">
        <v>38</v>
      </c>
      <c r="H708" s="8"/>
      <c r="I708" s="8" t="s">
        <v>192</v>
      </c>
      <c r="J708" s="8" t="s">
        <v>192</v>
      </c>
      <c r="K708" s="8" t="n">
        <v>2</v>
      </c>
      <c r="L708" s="10"/>
      <c r="M708" s="10"/>
      <c r="N708" s="10"/>
      <c r="O708" s="10"/>
      <c r="P708" s="8" t="str">
        <f aca="false">MID(IF(L708="","","; APP:"&amp;L708)&amp;IF(M708="","","; PS1:"&amp;M708)&amp;IF(N708="","","; AQP4:"&amp;N708)&amp;IF(O708="","","; CAG-EGFP:"&amp;O708),3,200)</f>
        <v/>
      </c>
      <c r="Q708" s="8" t="s">
        <v>82</v>
      </c>
      <c r="R708" s="8" t="s">
        <v>88</v>
      </c>
      <c r="S708" s="8"/>
      <c r="T708" s="8" t="s">
        <v>1037</v>
      </c>
    </row>
    <row r="709" customFormat="false" ht="17.15" hidden="false" customHeight="false" outlineLevel="0" collapsed="false">
      <c r="A709" s="7" t="s">
        <v>1038</v>
      </c>
      <c r="B709" s="8" t="s">
        <v>104</v>
      </c>
      <c r="C709" s="8" t="n">
        <v>4</v>
      </c>
      <c r="D709" s="8" t="s">
        <v>46</v>
      </c>
      <c r="E709" s="9" t="n">
        <v>45239</v>
      </c>
      <c r="F709" s="8" t="n">
        <f aca="true">IF(E709="","",ROUND((TODAY()-E709)/7,1))</f>
        <v>135.4</v>
      </c>
      <c r="G709" s="8" t="s">
        <v>38</v>
      </c>
      <c r="H709" s="8"/>
      <c r="I709" s="8" t="s">
        <v>192</v>
      </c>
      <c r="J709" s="8" t="s">
        <v>192</v>
      </c>
      <c r="K709" s="8" t="n">
        <v>2</v>
      </c>
      <c r="L709" s="10"/>
      <c r="M709" s="10"/>
      <c r="N709" s="10"/>
      <c r="O709" s="10"/>
      <c r="P709" s="8" t="str">
        <f aca="false">MID(IF(L709="","","; APP:"&amp;L709)&amp;IF(M709="","","; PS1:"&amp;M709)&amp;IF(N709="","","; AQP4:"&amp;N709)&amp;IF(O709="","","; CAG-EGFP:"&amp;O709),3,200)</f>
        <v/>
      </c>
      <c r="Q709" s="8" t="s">
        <v>82</v>
      </c>
      <c r="R709" s="8" t="s">
        <v>88</v>
      </c>
      <c r="S709" s="8"/>
      <c r="T709" s="8" t="s">
        <v>1037</v>
      </c>
    </row>
    <row r="710" customFormat="false" ht="15" hidden="false" customHeight="false" outlineLevel="0" collapsed="false">
      <c r="A710" s="7" t="s">
        <v>1039</v>
      </c>
      <c r="B710" s="8" t="s">
        <v>104</v>
      </c>
      <c r="C710" s="8" t="n">
        <v>5</v>
      </c>
      <c r="D710" s="8" t="s">
        <v>33</v>
      </c>
      <c r="E710" s="9" t="n">
        <v>45258</v>
      </c>
      <c r="F710" s="8" t="n">
        <f aca="true">IF(E710="","",ROUND((TODAY()-E710)/7,1))</f>
        <v>132.7</v>
      </c>
      <c r="G710" s="8" t="s">
        <v>38</v>
      </c>
      <c r="H710" s="8"/>
      <c r="I710" s="8" t="s">
        <v>192</v>
      </c>
      <c r="J710" s="8" t="s">
        <v>192</v>
      </c>
      <c r="K710" s="8" t="n">
        <v>2</v>
      </c>
      <c r="L710" s="10"/>
      <c r="M710" s="10"/>
      <c r="N710" s="10"/>
      <c r="O710" s="10"/>
      <c r="P710" s="8" t="str">
        <f aca="false">MID(IF(L710="","","; APP:"&amp;L710)&amp;IF(M710="","","; PS1:"&amp;M710)&amp;IF(N710="","","; AQP4:"&amp;N710)&amp;IF(O710="","","; CAG-EGFP:"&amp;O710),3,200)</f>
        <v/>
      </c>
      <c r="Q710" s="8" t="s">
        <v>82</v>
      </c>
      <c r="R710" s="8" t="s">
        <v>88</v>
      </c>
      <c r="S710" s="8"/>
      <c r="T710" s="8"/>
    </row>
    <row r="711" customFormat="false" ht="15" hidden="false" customHeight="false" outlineLevel="0" collapsed="false">
      <c r="A711" s="7" t="s">
        <v>1040</v>
      </c>
      <c r="B711" s="8" t="s">
        <v>104</v>
      </c>
      <c r="C711" s="8" t="n">
        <v>6</v>
      </c>
      <c r="D711" s="8" t="s">
        <v>33</v>
      </c>
      <c r="E711" s="9" t="n">
        <v>45239</v>
      </c>
      <c r="F711" s="8" t="n">
        <f aca="true">IF(E711="","",ROUND((TODAY()-E711)/7,1))</f>
        <v>135.4</v>
      </c>
      <c r="G711" s="8" t="s">
        <v>38</v>
      </c>
      <c r="H711" s="8"/>
      <c r="I711" s="8" t="s">
        <v>192</v>
      </c>
      <c r="J711" s="8" t="s">
        <v>192</v>
      </c>
      <c r="K711" s="8" t="n">
        <v>2</v>
      </c>
      <c r="L711" s="10"/>
      <c r="M711" s="10"/>
      <c r="N711" s="10"/>
      <c r="O711" s="10"/>
      <c r="P711" s="8" t="str">
        <f aca="false">MID(IF(L711="","","; APP:"&amp;L711)&amp;IF(M711="","","; PS1:"&amp;M711)&amp;IF(N711="","","; AQP4:"&amp;N711)&amp;IF(O711="","","; CAG-EGFP:"&amp;O711),3,200)</f>
        <v/>
      </c>
      <c r="Q711" s="8" t="s">
        <v>82</v>
      </c>
      <c r="R711" s="8" t="s">
        <v>88</v>
      </c>
      <c r="S711" s="8"/>
      <c r="T711" s="8"/>
    </row>
    <row r="712" customFormat="false" ht="15" hidden="false" customHeight="false" outlineLevel="0" collapsed="false">
      <c r="A712" s="7" t="s">
        <v>1041</v>
      </c>
      <c r="B712" s="8" t="s">
        <v>104</v>
      </c>
      <c r="C712" s="8" t="n">
        <v>7</v>
      </c>
      <c r="D712" s="8" t="s">
        <v>33</v>
      </c>
      <c r="E712" s="9" t="n">
        <v>45239</v>
      </c>
      <c r="F712" s="8" t="n">
        <f aca="true">IF(E712="","",ROUND((TODAY()-E712)/7,1))</f>
        <v>135.4</v>
      </c>
      <c r="G712" s="8" t="s">
        <v>38</v>
      </c>
      <c r="H712" s="8"/>
      <c r="I712" s="8" t="s">
        <v>192</v>
      </c>
      <c r="J712" s="8" t="s">
        <v>192</v>
      </c>
      <c r="K712" s="8" t="n">
        <v>2</v>
      </c>
      <c r="L712" s="10"/>
      <c r="M712" s="10"/>
      <c r="N712" s="10"/>
      <c r="O712" s="10"/>
      <c r="P712" s="8" t="str">
        <f aca="false">MID(IF(L712="","","; APP:"&amp;L712)&amp;IF(M712="","","; PS1:"&amp;M712)&amp;IF(N712="","","; AQP4:"&amp;N712)&amp;IF(O712="","","; CAG-EGFP:"&amp;O712),3,200)</f>
        <v/>
      </c>
      <c r="Q712" s="8" t="s">
        <v>82</v>
      </c>
      <c r="R712" s="8" t="s">
        <v>88</v>
      </c>
      <c r="S712" s="8"/>
      <c r="T712" s="8"/>
    </row>
    <row r="713" customFormat="false" ht="15" hidden="false" customHeight="false" outlineLevel="0" collapsed="false">
      <c r="A713" s="7" t="s">
        <v>1042</v>
      </c>
      <c r="B713" s="8" t="s">
        <v>104</v>
      </c>
      <c r="C713" s="8" t="n">
        <v>8</v>
      </c>
      <c r="D713" s="8" t="s">
        <v>46</v>
      </c>
      <c r="E713" s="9" t="n">
        <v>45238</v>
      </c>
      <c r="F713" s="8" t="n">
        <f aca="true">IF(E713="","",ROUND((TODAY()-E713)/7,1))</f>
        <v>135.6</v>
      </c>
      <c r="G713" s="8" t="s">
        <v>38</v>
      </c>
      <c r="H713" s="8"/>
      <c r="I713" s="8" t="s">
        <v>192</v>
      </c>
      <c r="J713" s="8" t="s">
        <v>192</v>
      </c>
      <c r="K713" s="8" t="n">
        <v>2</v>
      </c>
      <c r="L713" s="10"/>
      <c r="M713" s="10"/>
      <c r="N713" s="10"/>
      <c r="O713" s="10"/>
      <c r="P713" s="8" t="str">
        <f aca="false">MID(IF(L713="","","; APP:"&amp;L713)&amp;IF(M713="","","; PS1:"&amp;M713)&amp;IF(N713="","","; AQP4:"&amp;N713)&amp;IF(O713="","","; CAG-EGFP:"&amp;O713),3,200)</f>
        <v/>
      </c>
      <c r="Q713" s="8" t="s">
        <v>82</v>
      </c>
      <c r="R713" s="8" t="s">
        <v>88</v>
      </c>
      <c r="S713" s="8"/>
      <c r="T713" s="8" t="s">
        <v>1043</v>
      </c>
    </row>
    <row r="714" customFormat="false" ht="15" hidden="false" customHeight="false" outlineLevel="0" collapsed="false">
      <c r="A714" s="7" t="s">
        <v>1044</v>
      </c>
      <c r="B714" s="8" t="s">
        <v>104</v>
      </c>
      <c r="C714" s="8" t="n">
        <v>9</v>
      </c>
      <c r="D714" s="8" t="s">
        <v>46</v>
      </c>
      <c r="E714" s="9" t="n">
        <v>45238</v>
      </c>
      <c r="F714" s="8" t="n">
        <f aca="true">IF(E714="","",ROUND((TODAY()-E714)/7,1))</f>
        <v>135.6</v>
      </c>
      <c r="G714" s="8" t="s">
        <v>38</v>
      </c>
      <c r="H714" s="8"/>
      <c r="I714" s="8" t="s">
        <v>192</v>
      </c>
      <c r="J714" s="8" t="s">
        <v>192</v>
      </c>
      <c r="K714" s="8" t="n">
        <v>2</v>
      </c>
      <c r="L714" s="10"/>
      <c r="M714" s="10"/>
      <c r="N714" s="10"/>
      <c r="O714" s="10"/>
      <c r="P714" s="8" t="str">
        <f aca="false">MID(IF(L714="","","; APP:"&amp;L714)&amp;IF(M714="","","; PS1:"&amp;M714)&amp;IF(N714="","","; AQP4:"&amp;N714)&amp;IF(O714="","","; CAG-EGFP:"&amp;O714),3,200)</f>
        <v/>
      </c>
      <c r="Q714" s="8" t="s">
        <v>82</v>
      </c>
      <c r="R714" s="8" t="s">
        <v>88</v>
      </c>
      <c r="S714" s="8"/>
      <c r="T714" s="8" t="s">
        <v>1043</v>
      </c>
    </row>
    <row r="715" customFormat="false" ht="15" hidden="false" customHeight="false" outlineLevel="0" collapsed="false">
      <c r="A715" s="7" t="s">
        <v>1045</v>
      </c>
      <c r="B715" s="8" t="s">
        <v>104</v>
      </c>
      <c r="C715" s="8" t="n">
        <v>10</v>
      </c>
      <c r="D715" s="8" t="s">
        <v>46</v>
      </c>
      <c r="E715" s="9" t="n">
        <v>45258</v>
      </c>
      <c r="F715" s="8" t="n">
        <f aca="true">IF(E715="","",ROUND((TODAY()-E715)/7,1))</f>
        <v>132.7</v>
      </c>
      <c r="G715" s="8" t="s">
        <v>38</v>
      </c>
      <c r="H715" s="8"/>
      <c r="I715" s="8" t="s">
        <v>192</v>
      </c>
      <c r="J715" s="8" t="s">
        <v>192</v>
      </c>
      <c r="K715" s="8" t="n">
        <v>2</v>
      </c>
      <c r="L715" s="10"/>
      <c r="M715" s="10"/>
      <c r="N715" s="10"/>
      <c r="O715" s="10"/>
      <c r="P715" s="8" t="str">
        <f aca="false">MID(IF(L715="","","; APP:"&amp;L715)&amp;IF(M715="","","; PS1:"&amp;M715)&amp;IF(N715="","","; AQP4:"&amp;N715)&amp;IF(O715="","","; CAG-EGFP:"&amp;O715),3,200)</f>
        <v/>
      </c>
      <c r="Q715" s="8" t="s">
        <v>82</v>
      </c>
      <c r="R715" s="8" t="s">
        <v>88</v>
      </c>
      <c r="S715" s="8"/>
      <c r="T715" s="8"/>
    </row>
    <row r="716" customFormat="false" ht="15" hidden="false" customHeight="false" outlineLevel="0" collapsed="false">
      <c r="A716" s="7" t="s">
        <v>1046</v>
      </c>
      <c r="B716" s="8" t="s">
        <v>104</v>
      </c>
      <c r="C716" s="8" t="n">
        <v>11</v>
      </c>
      <c r="D716" s="8" t="s">
        <v>46</v>
      </c>
      <c r="E716" s="9" t="n">
        <v>45258</v>
      </c>
      <c r="F716" s="8" t="n">
        <f aca="true">IF(E716="","",ROUND((TODAY()-E716)/7,1))</f>
        <v>132.7</v>
      </c>
      <c r="G716" s="8" t="s">
        <v>38</v>
      </c>
      <c r="H716" s="8"/>
      <c r="I716" s="8" t="s">
        <v>192</v>
      </c>
      <c r="J716" s="8" t="s">
        <v>192</v>
      </c>
      <c r="K716" s="8" t="n">
        <v>2</v>
      </c>
      <c r="L716" s="10"/>
      <c r="M716" s="10"/>
      <c r="N716" s="10"/>
      <c r="O716" s="10"/>
      <c r="P716" s="8" t="str">
        <f aca="false">MID(IF(L716="","","; APP:"&amp;L716)&amp;IF(M716="","","; PS1:"&amp;M716)&amp;IF(N716="","","; AQP4:"&amp;N716)&amp;IF(O716="","","; CAG-EGFP:"&amp;O716),3,200)</f>
        <v/>
      </c>
      <c r="Q716" s="8" t="s">
        <v>82</v>
      </c>
      <c r="R716" s="8" t="s">
        <v>88</v>
      </c>
      <c r="S716" s="8"/>
      <c r="T716" s="8"/>
    </row>
    <row r="717" customFormat="false" ht="15" hidden="false" customHeight="false" outlineLevel="0" collapsed="false">
      <c r="A717" s="7" t="s">
        <v>1047</v>
      </c>
      <c r="B717" s="8" t="s">
        <v>104</v>
      </c>
      <c r="C717" s="8" t="n">
        <v>12</v>
      </c>
      <c r="D717" s="8" t="s">
        <v>46</v>
      </c>
      <c r="E717" s="9" t="n">
        <v>45258</v>
      </c>
      <c r="F717" s="8" t="n">
        <f aca="true">IF(E717="","",ROUND((TODAY()-E717)/7,1))</f>
        <v>132.7</v>
      </c>
      <c r="G717" s="8" t="s">
        <v>38</v>
      </c>
      <c r="H717" s="8"/>
      <c r="I717" s="8" t="s">
        <v>192</v>
      </c>
      <c r="J717" s="8" t="s">
        <v>192</v>
      </c>
      <c r="K717" s="8" t="n">
        <v>2</v>
      </c>
      <c r="L717" s="10"/>
      <c r="M717" s="10"/>
      <c r="N717" s="10"/>
      <c r="O717" s="10"/>
      <c r="P717" s="8" t="str">
        <f aca="false">MID(IF(L717="","","; APP:"&amp;L717)&amp;IF(M717="","","; PS1:"&amp;M717)&amp;IF(N717="","","; AQP4:"&amp;N717)&amp;IF(O717="","","; CAG-EGFP:"&amp;O717),3,200)</f>
        <v/>
      </c>
      <c r="Q717" s="8" t="s">
        <v>82</v>
      </c>
      <c r="R717" s="8" t="s">
        <v>88</v>
      </c>
      <c r="S717" s="8"/>
      <c r="T717" s="8"/>
    </row>
    <row r="718" customFormat="false" ht="15" hidden="false" customHeight="false" outlineLevel="0" collapsed="false">
      <c r="A718" s="7" t="s">
        <v>1048</v>
      </c>
      <c r="B718" s="8" t="s">
        <v>104</v>
      </c>
      <c r="C718" s="8" t="n">
        <v>13</v>
      </c>
      <c r="D718" s="8" t="s">
        <v>46</v>
      </c>
      <c r="E718" s="9" t="n">
        <v>45258</v>
      </c>
      <c r="F718" s="8" t="n">
        <f aca="true">IF(E718="","",ROUND((TODAY()-E718)/7,1))</f>
        <v>132.7</v>
      </c>
      <c r="G718" s="8" t="s">
        <v>38</v>
      </c>
      <c r="H718" s="8"/>
      <c r="I718" s="8" t="s">
        <v>192</v>
      </c>
      <c r="J718" s="8" t="s">
        <v>192</v>
      </c>
      <c r="K718" s="8" t="n">
        <v>2</v>
      </c>
      <c r="L718" s="10"/>
      <c r="M718" s="10"/>
      <c r="N718" s="10"/>
      <c r="O718" s="10"/>
      <c r="P718" s="8" t="str">
        <f aca="false">MID(IF(L718="","","; APP:"&amp;L718)&amp;IF(M718="","","; PS1:"&amp;M718)&amp;IF(N718="","","; AQP4:"&amp;N718)&amp;IF(O718="","","; CAG-EGFP:"&amp;O718),3,200)</f>
        <v/>
      </c>
      <c r="Q718" s="8" t="s">
        <v>82</v>
      </c>
      <c r="R718" s="8" t="s">
        <v>88</v>
      </c>
      <c r="S718" s="8"/>
      <c r="T718" s="8"/>
    </row>
    <row r="719" customFormat="false" ht="15" hidden="false" customHeight="false" outlineLevel="0" collapsed="false">
      <c r="A719" s="7" t="s">
        <v>1049</v>
      </c>
      <c r="B719" s="8" t="s">
        <v>104</v>
      </c>
      <c r="C719" s="8" t="n">
        <v>14</v>
      </c>
      <c r="D719" s="8" t="s">
        <v>33</v>
      </c>
      <c r="E719" s="9" t="n">
        <v>45324</v>
      </c>
      <c r="F719" s="8" t="n">
        <f aca="true">IF(E719="","",ROUND((TODAY()-E719)/7,1))</f>
        <v>123.3</v>
      </c>
      <c r="G719" s="8" t="s">
        <v>38</v>
      </c>
      <c r="H719" s="8"/>
      <c r="I719" s="8" t="s">
        <v>192</v>
      </c>
      <c r="J719" s="8" t="s">
        <v>192</v>
      </c>
      <c r="K719" s="8" t="n">
        <v>2</v>
      </c>
      <c r="L719" s="10"/>
      <c r="M719" s="10"/>
      <c r="N719" s="10"/>
      <c r="O719" s="10"/>
      <c r="P719" s="8" t="str">
        <f aca="false">MID(IF(L719="","","; APP:"&amp;L719)&amp;IF(M719="","","; PS1:"&amp;M719)&amp;IF(N719="","","; AQP4:"&amp;N719)&amp;IF(O719="","","; CAG-EGFP:"&amp;O719),3,200)</f>
        <v/>
      </c>
      <c r="Q719" s="8" t="s">
        <v>82</v>
      </c>
      <c r="R719" s="8" t="s">
        <v>88</v>
      </c>
      <c r="S719" s="8"/>
      <c r="T719" s="8"/>
    </row>
    <row r="720" customFormat="false" ht="15" hidden="false" customHeight="false" outlineLevel="0" collapsed="false">
      <c r="A720" s="7" t="s">
        <v>1050</v>
      </c>
      <c r="B720" s="8" t="s">
        <v>104</v>
      </c>
      <c r="C720" s="8" t="n">
        <v>15</v>
      </c>
      <c r="D720" s="8" t="s">
        <v>33</v>
      </c>
      <c r="E720" s="9" t="n">
        <v>45324</v>
      </c>
      <c r="F720" s="8" t="n">
        <f aca="true">IF(E720="","",ROUND((TODAY()-E720)/7,1))</f>
        <v>123.3</v>
      </c>
      <c r="G720" s="8" t="s">
        <v>38</v>
      </c>
      <c r="H720" s="8"/>
      <c r="I720" s="8" t="s">
        <v>192</v>
      </c>
      <c r="J720" s="8" t="s">
        <v>192</v>
      </c>
      <c r="K720" s="8" t="n">
        <v>2</v>
      </c>
      <c r="L720" s="10"/>
      <c r="M720" s="10"/>
      <c r="N720" s="10"/>
      <c r="O720" s="10"/>
      <c r="P720" s="8" t="str">
        <f aca="false">MID(IF(L720="","","; APP:"&amp;L720)&amp;IF(M720="","","; PS1:"&amp;M720)&amp;IF(N720="","","; AQP4:"&amp;N720)&amp;IF(O720="","","; CAG-EGFP:"&amp;O720),3,200)</f>
        <v/>
      </c>
      <c r="Q720" s="8" t="s">
        <v>82</v>
      </c>
      <c r="R720" s="8" t="s">
        <v>88</v>
      </c>
      <c r="S720" s="8"/>
      <c r="T720" s="8"/>
    </row>
    <row r="721" customFormat="false" ht="15" hidden="false" customHeight="false" outlineLevel="0" collapsed="false">
      <c r="A721" s="7" t="s">
        <v>1051</v>
      </c>
      <c r="B721" s="8" t="s">
        <v>104</v>
      </c>
      <c r="C721" s="8" t="n">
        <v>16</v>
      </c>
      <c r="D721" s="8" t="s">
        <v>33</v>
      </c>
      <c r="E721" s="9" t="n">
        <v>45324</v>
      </c>
      <c r="F721" s="8" t="n">
        <f aca="true">IF(E721="","",ROUND((TODAY()-E721)/7,1))</f>
        <v>123.3</v>
      </c>
      <c r="G721" s="8" t="s">
        <v>38</v>
      </c>
      <c r="H721" s="8"/>
      <c r="I721" s="8" t="s">
        <v>192</v>
      </c>
      <c r="J721" s="8" t="s">
        <v>192</v>
      </c>
      <c r="K721" s="8" t="n">
        <v>2</v>
      </c>
      <c r="L721" s="10"/>
      <c r="M721" s="10"/>
      <c r="N721" s="10"/>
      <c r="O721" s="10"/>
      <c r="P721" s="8" t="str">
        <f aca="false">MID(IF(L721="","","; APP:"&amp;L721)&amp;IF(M721="","","; PS1:"&amp;M721)&amp;IF(N721="","","; AQP4:"&amp;N721)&amp;IF(O721="","","; CAG-EGFP:"&amp;O721),3,200)</f>
        <v/>
      </c>
      <c r="Q721" s="8" t="s">
        <v>82</v>
      </c>
      <c r="R721" s="8" t="s">
        <v>88</v>
      </c>
      <c r="S721" s="8"/>
      <c r="T721" s="8"/>
    </row>
    <row r="722" customFormat="false" ht="15" hidden="false" customHeight="false" outlineLevel="0" collapsed="false">
      <c r="A722" s="7" t="s">
        <v>1052</v>
      </c>
      <c r="B722" s="8" t="s">
        <v>104</v>
      </c>
      <c r="C722" s="8" t="n">
        <v>17</v>
      </c>
      <c r="D722" s="8" t="s">
        <v>33</v>
      </c>
      <c r="E722" s="9" t="n">
        <v>45324</v>
      </c>
      <c r="F722" s="8" t="n">
        <f aca="true">IF(E722="","",ROUND((TODAY()-E722)/7,1))</f>
        <v>123.3</v>
      </c>
      <c r="G722" s="8" t="s">
        <v>38</v>
      </c>
      <c r="H722" s="8"/>
      <c r="I722" s="8" t="s">
        <v>192</v>
      </c>
      <c r="J722" s="8" t="s">
        <v>192</v>
      </c>
      <c r="K722" s="8" t="n">
        <v>2</v>
      </c>
      <c r="L722" s="10"/>
      <c r="M722" s="10"/>
      <c r="N722" s="10"/>
      <c r="O722" s="10"/>
      <c r="P722" s="8" t="str">
        <f aca="false">MID(IF(L722="","","; APP:"&amp;L722)&amp;IF(M722="","","; PS1:"&amp;M722)&amp;IF(N722="","","; AQP4:"&amp;N722)&amp;IF(O722="","","; CAG-EGFP:"&amp;O722),3,200)</f>
        <v/>
      </c>
      <c r="Q722" s="8" t="s">
        <v>82</v>
      </c>
      <c r="R722" s="8" t="s">
        <v>88</v>
      </c>
      <c r="S722" s="8"/>
      <c r="T722" s="8"/>
    </row>
    <row r="723" customFormat="false" ht="15" hidden="false" customHeight="false" outlineLevel="0" collapsed="false">
      <c r="A723" s="7" t="s">
        <v>1053</v>
      </c>
      <c r="B723" s="8" t="s">
        <v>104</v>
      </c>
      <c r="C723" s="8" t="n">
        <v>18</v>
      </c>
      <c r="D723" s="8" t="s">
        <v>33</v>
      </c>
      <c r="E723" s="9" t="n">
        <v>45324</v>
      </c>
      <c r="F723" s="8" t="n">
        <f aca="true">IF(E723="","",ROUND((TODAY()-E723)/7,1))</f>
        <v>123.3</v>
      </c>
      <c r="G723" s="8" t="s">
        <v>38</v>
      </c>
      <c r="H723" s="8"/>
      <c r="I723" s="8" t="s">
        <v>192</v>
      </c>
      <c r="J723" s="8" t="s">
        <v>192</v>
      </c>
      <c r="K723" s="8" t="n">
        <v>2</v>
      </c>
      <c r="L723" s="10"/>
      <c r="M723" s="10"/>
      <c r="N723" s="10"/>
      <c r="O723" s="10"/>
      <c r="P723" s="8" t="str">
        <f aca="false">MID(IF(L723="","","; APP:"&amp;L723)&amp;IF(M723="","","; PS1:"&amp;M723)&amp;IF(N723="","","; AQP4:"&amp;N723)&amp;IF(O723="","","; CAG-EGFP:"&amp;O723),3,200)</f>
        <v/>
      </c>
      <c r="Q723" s="8" t="s">
        <v>82</v>
      </c>
      <c r="R723" s="8" t="s">
        <v>88</v>
      </c>
      <c r="S723" s="8"/>
      <c r="T723" s="8"/>
    </row>
    <row r="724" customFormat="false" ht="15" hidden="false" customHeight="false" outlineLevel="0" collapsed="false">
      <c r="A724" s="7" t="s">
        <v>1054</v>
      </c>
      <c r="B724" s="8" t="s">
        <v>104</v>
      </c>
      <c r="C724" s="8" t="n">
        <v>19</v>
      </c>
      <c r="D724" s="8" t="s">
        <v>33</v>
      </c>
      <c r="E724" s="9" t="n">
        <v>45324</v>
      </c>
      <c r="F724" s="8" t="n">
        <f aca="true">IF(E724="","",ROUND((TODAY()-E724)/7,1))</f>
        <v>123.3</v>
      </c>
      <c r="G724" s="8" t="s">
        <v>38</v>
      </c>
      <c r="H724" s="8"/>
      <c r="I724" s="8" t="s">
        <v>192</v>
      </c>
      <c r="J724" s="8" t="s">
        <v>192</v>
      </c>
      <c r="K724" s="8" t="n">
        <v>2</v>
      </c>
      <c r="L724" s="10"/>
      <c r="M724" s="10"/>
      <c r="N724" s="10"/>
      <c r="O724" s="10"/>
      <c r="P724" s="8" t="str">
        <f aca="false">MID(IF(L724="","","; APP:"&amp;L724)&amp;IF(M724="","","; PS1:"&amp;M724)&amp;IF(N724="","","; AQP4:"&amp;N724)&amp;IF(O724="","","; CAG-EGFP:"&amp;O724),3,200)</f>
        <v/>
      </c>
      <c r="Q724" s="8" t="s">
        <v>82</v>
      </c>
      <c r="R724" s="8" t="s">
        <v>88</v>
      </c>
      <c r="S724" s="8"/>
      <c r="T724" s="8"/>
    </row>
    <row r="725" customFormat="false" ht="15" hidden="false" customHeight="false" outlineLevel="0" collapsed="false">
      <c r="A725" s="7" t="s">
        <v>1055</v>
      </c>
      <c r="B725" s="8" t="s">
        <v>104</v>
      </c>
      <c r="C725" s="8" t="n">
        <v>20</v>
      </c>
      <c r="D725" s="8" t="s">
        <v>33</v>
      </c>
      <c r="E725" s="9" t="n">
        <v>45324</v>
      </c>
      <c r="F725" s="8" t="n">
        <f aca="true">IF(E725="","",ROUND((TODAY()-E725)/7,1))</f>
        <v>123.3</v>
      </c>
      <c r="G725" s="8" t="s">
        <v>38</v>
      </c>
      <c r="H725" s="8"/>
      <c r="I725" s="8" t="s">
        <v>192</v>
      </c>
      <c r="J725" s="8" t="s">
        <v>192</v>
      </c>
      <c r="K725" s="8" t="n">
        <v>2</v>
      </c>
      <c r="L725" s="10"/>
      <c r="M725" s="10"/>
      <c r="N725" s="10"/>
      <c r="O725" s="10"/>
      <c r="P725" s="8" t="str">
        <f aca="false">MID(IF(L725="","","; APP:"&amp;L725)&amp;IF(M725="","","; PS1:"&amp;M725)&amp;IF(N725="","","; AQP4:"&amp;N725)&amp;IF(O725="","","; CAG-EGFP:"&amp;O725),3,200)</f>
        <v/>
      </c>
      <c r="Q725" s="8" t="s">
        <v>82</v>
      </c>
      <c r="R725" s="8" t="s">
        <v>88</v>
      </c>
      <c r="S725" s="8"/>
      <c r="T725" s="8"/>
    </row>
    <row r="726" customFormat="false" ht="15" hidden="false" customHeight="false" outlineLevel="0" collapsed="false">
      <c r="A726" s="7" t="s">
        <v>1056</v>
      </c>
      <c r="B726" s="8" t="s">
        <v>104</v>
      </c>
      <c r="C726" s="8" t="n">
        <v>21</v>
      </c>
      <c r="D726" s="8" t="s">
        <v>33</v>
      </c>
      <c r="E726" s="9" t="n">
        <v>45324</v>
      </c>
      <c r="F726" s="8" t="n">
        <f aca="true">IF(E726="","",ROUND((TODAY()-E726)/7,1))</f>
        <v>123.3</v>
      </c>
      <c r="G726" s="8" t="s">
        <v>38</v>
      </c>
      <c r="H726" s="8"/>
      <c r="I726" s="8" t="s">
        <v>192</v>
      </c>
      <c r="J726" s="8" t="s">
        <v>192</v>
      </c>
      <c r="K726" s="8" t="n">
        <v>2</v>
      </c>
      <c r="L726" s="10"/>
      <c r="M726" s="10"/>
      <c r="N726" s="10"/>
      <c r="O726" s="10"/>
      <c r="P726" s="8" t="str">
        <f aca="false">MID(IF(L726="","","; APP:"&amp;L726)&amp;IF(M726="","","; PS1:"&amp;M726)&amp;IF(N726="","","; AQP4:"&amp;N726)&amp;IF(O726="","","; CAG-EGFP:"&amp;O726),3,200)</f>
        <v/>
      </c>
      <c r="Q726" s="8" t="s">
        <v>82</v>
      </c>
      <c r="R726" s="8" t="s">
        <v>88</v>
      </c>
      <c r="S726" s="8"/>
      <c r="T726" s="8"/>
    </row>
    <row r="727" customFormat="false" ht="17.15" hidden="false" customHeight="false" outlineLevel="0" collapsed="false">
      <c r="A727" s="7" t="s">
        <v>1057</v>
      </c>
      <c r="B727" s="8" t="s">
        <v>104</v>
      </c>
      <c r="C727" s="8" t="n">
        <v>22</v>
      </c>
      <c r="D727" s="8" t="s">
        <v>33</v>
      </c>
      <c r="E727" s="9" t="n">
        <v>45324</v>
      </c>
      <c r="F727" s="8" t="n">
        <f aca="true">IF(E727="","",ROUND((TODAY()-E727)/7,1))</f>
        <v>123.3</v>
      </c>
      <c r="G727" s="8" t="s">
        <v>38</v>
      </c>
      <c r="H727" s="8"/>
      <c r="I727" s="8" t="s">
        <v>192</v>
      </c>
      <c r="J727" s="8" t="s">
        <v>192</v>
      </c>
      <c r="K727" s="8" t="n">
        <v>2</v>
      </c>
      <c r="L727" s="10"/>
      <c r="M727" s="10"/>
      <c r="N727" s="10"/>
      <c r="O727" s="10"/>
      <c r="P727" s="8" t="str">
        <f aca="false">MID(IF(L727="","","; APP:"&amp;L727)&amp;IF(M727="","","; PS1:"&amp;M727)&amp;IF(N727="","","; AQP4:"&amp;N727)&amp;IF(O727="","","; CAG-EGFP:"&amp;O727),3,200)</f>
        <v/>
      </c>
      <c r="Q727" s="8" t="s">
        <v>82</v>
      </c>
      <c r="R727" s="8" t="s">
        <v>88</v>
      </c>
      <c r="S727" s="8"/>
      <c r="T727" s="8" t="s">
        <v>1037</v>
      </c>
    </row>
    <row r="728" customFormat="false" ht="17.15" hidden="false" customHeight="false" outlineLevel="0" collapsed="false">
      <c r="A728" s="7" t="s">
        <v>1058</v>
      </c>
      <c r="B728" s="8" t="s">
        <v>104</v>
      </c>
      <c r="C728" s="8" t="n">
        <v>23</v>
      </c>
      <c r="D728" s="8" t="s">
        <v>33</v>
      </c>
      <c r="E728" s="9" t="n">
        <v>45324</v>
      </c>
      <c r="F728" s="8" t="n">
        <f aca="true">IF(E728="","",ROUND((TODAY()-E728)/7,1))</f>
        <v>123.3</v>
      </c>
      <c r="G728" s="8" t="s">
        <v>38</v>
      </c>
      <c r="H728" s="8"/>
      <c r="I728" s="8" t="s">
        <v>192</v>
      </c>
      <c r="J728" s="8" t="s">
        <v>192</v>
      </c>
      <c r="K728" s="8" t="n">
        <v>2</v>
      </c>
      <c r="L728" s="10"/>
      <c r="M728" s="10"/>
      <c r="N728" s="10"/>
      <c r="O728" s="10"/>
      <c r="P728" s="8" t="str">
        <f aca="false">MID(IF(L728="","","; APP:"&amp;L728)&amp;IF(M728="","","; PS1:"&amp;M728)&amp;IF(N728="","","; AQP4:"&amp;N728)&amp;IF(O728="","","; CAG-EGFP:"&amp;O728),3,200)</f>
        <v/>
      </c>
      <c r="Q728" s="8" t="s">
        <v>82</v>
      </c>
      <c r="R728" s="8" t="s">
        <v>88</v>
      </c>
      <c r="S728" s="8"/>
      <c r="T728" s="8" t="s">
        <v>1037</v>
      </c>
    </row>
    <row r="729" customFormat="false" ht="17.15" hidden="false" customHeight="false" outlineLevel="0" collapsed="false">
      <c r="A729" s="7" t="s">
        <v>1059</v>
      </c>
      <c r="B729" s="8" t="s">
        <v>104</v>
      </c>
      <c r="C729" s="8" t="n">
        <v>24</v>
      </c>
      <c r="D729" s="8" t="s">
        <v>46</v>
      </c>
      <c r="E729" s="9" t="n">
        <v>45324</v>
      </c>
      <c r="F729" s="8" t="n">
        <f aca="true">IF(E729="","",ROUND((TODAY()-E729)/7,1))</f>
        <v>123.3</v>
      </c>
      <c r="G729" s="8" t="s">
        <v>38</v>
      </c>
      <c r="H729" s="8"/>
      <c r="I729" s="8" t="s">
        <v>192</v>
      </c>
      <c r="J729" s="8" t="s">
        <v>192</v>
      </c>
      <c r="K729" s="8" t="n">
        <v>2</v>
      </c>
      <c r="L729" s="10"/>
      <c r="M729" s="10"/>
      <c r="N729" s="10"/>
      <c r="O729" s="10"/>
      <c r="P729" s="8" t="str">
        <f aca="false">MID(IF(L729="","","; APP:"&amp;L729)&amp;IF(M729="","","; PS1:"&amp;M729)&amp;IF(N729="","","; AQP4:"&amp;N729)&amp;IF(O729="","","; CAG-EGFP:"&amp;O729),3,200)</f>
        <v/>
      </c>
      <c r="Q729" s="8" t="s">
        <v>82</v>
      </c>
      <c r="R729" s="8" t="s">
        <v>88</v>
      </c>
      <c r="S729" s="8"/>
      <c r="T729" s="8" t="s">
        <v>1037</v>
      </c>
    </row>
    <row r="730" customFormat="false" ht="17.15" hidden="false" customHeight="false" outlineLevel="0" collapsed="false">
      <c r="A730" s="7" t="s">
        <v>1060</v>
      </c>
      <c r="B730" s="8" t="s">
        <v>104</v>
      </c>
      <c r="C730" s="8" t="n">
        <v>25</v>
      </c>
      <c r="D730" s="8" t="s">
        <v>46</v>
      </c>
      <c r="E730" s="9" t="n">
        <v>45324</v>
      </c>
      <c r="F730" s="8" t="n">
        <f aca="true">IF(E730="","",ROUND((TODAY()-E730)/7,1))</f>
        <v>123.3</v>
      </c>
      <c r="G730" s="8" t="s">
        <v>38</v>
      </c>
      <c r="H730" s="8"/>
      <c r="I730" s="8" t="s">
        <v>192</v>
      </c>
      <c r="J730" s="8" t="s">
        <v>192</v>
      </c>
      <c r="K730" s="8" t="n">
        <v>2</v>
      </c>
      <c r="L730" s="10"/>
      <c r="M730" s="10"/>
      <c r="N730" s="10"/>
      <c r="O730" s="10"/>
      <c r="P730" s="8" t="str">
        <f aca="false">MID(IF(L730="","","; APP:"&amp;L730)&amp;IF(M730="","","; PS1:"&amp;M730)&amp;IF(N730="","","; AQP4:"&amp;N730)&amp;IF(O730="","","; CAG-EGFP:"&amp;O730),3,200)</f>
        <v/>
      </c>
      <c r="Q730" s="8" t="s">
        <v>82</v>
      </c>
      <c r="R730" s="8" t="s">
        <v>88</v>
      </c>
      <c r="S730" s="8"/>
      <c r="T730" s="8" t="s">
        <v>1037</v>
      </c>
    </row>
    <row r="731" customFormat="false" ht="17.15" hidden="false" customHeight="false" outlineLevel="0" collapsed="false">
      <c r="A731" s="7" t="s">
        <v>1061</v>
      </c>
      <c r="B731" s="8" t="s">
        <v>104</v>
      </c>
      <c r="C731" s="8" t="n">
        <v>26</v>
      </c>
      <c r="D731" s="8" t="s">
        <v>46</v>
      </c>
      <c r="E731" s="9" t="n">
        <v>45324</v>
      </c>
      <c r="F731" s="8" t="n">
        <f aca="true">IF(E731="","",ROUND((TODAY()-E731)/7,1))</f>
        <v>123.3</v>
      </c>
      <c r="G731" s="8" t="s">
        <v>38</v>
      </c>
      <c r="H731" s="8"/>
      <c r="I731" s="8" t="s">
        <v>192</v>
      </c>
      <c r="J731" s="8" t="s">
        <v>192</v>
      </c>
      <c r="K731" s="8" t="n">
        <v>2</v>
      </c>
      <c r="L731" s="10"/>
      <c r="M731" s="10"/>
      <c r="N731" s="10"/>
      <c r="O731" s="10"/>
      <c r="P731" s="8" t="str">
        <f aca="false">MID(IF(L731="","","; APP:"&amp;L731)&amp;IF(M731="","","; PS1:"&amp;M731)&amp;IF(N731="","","; AQP4:"&amp;N731)&amp;IF(O731="","","; CAG-EGFP:"&amp;O731),3,200)</f>
        <v/>
      </c>
      <c r="Q731" s="8" t="s">
        <v>82</v>
      </c>
      <c r="R731" s="8" t="s">
        <v>88</v>
      </c>
      <c r="S731" s="8"/>
      <c r="T731" s="8" t="s">
        <v>1037</v>
      </c>
    </row>
    <row r="732" customFormat="false" ht="15" hidden="false" customHeight="false" outlineLevel="0" collapsed="false">
      <c r="A732" s="7" t="s">
        <v>1062</v>
      </c>
      <c r="B732" s="8" t="s">
        <v>104</v>
      </c>
      <c r="C732" s="8" t="n">
        <v>27</v>
      </c>
      <c r="D732" s="8" t="s">
        <v>33</v>
      </c>
      <c r="E732" s="9" t="n">
        <v>45329</v>
      </c>
      <c r="F732" s="8" t="n">
        <f aca="true">IF(E732="","",ROUND((TODAY()-E732)/7,1))</f>
        <v>122.6</v>
      </c>
      <c r="G732" s="8" t="s">
        <v>38</v>
      </c>
      <c r="H732" s="8"/>
      <c r="I732" s="8" t="s">
        <v>192</v>
      </c>
      <c r="J732" s="8" t="s">
        <v>192</v>
      </c>
      <c r="K732" s="8" t="n">
        <v>2</v>
      </c>
      <c r="L732" s="10"/>
      <c r="M732" s="10"/>
      <c r="N732" s="10"/>
      <c r="O732" s="10"/>
      <c r="P732" s="8" t="str">
        <f aca="false">MID(IF(L732="","","; APP:"&amp;L732)&amp;IF(M732="","","; PS1:"&amp;M732)&amp;IF(N732="","","; AQP4:"&amp;N732)&amp;IF(O732="","","; CAG-EGFP:"&amp;O732),3,200)</f>
        <v/>
      </c>
      <c r="Q732" s="8" t="s">
        <v>82</v>
      </c>
      <c r="R732" s="8" t="s">
        <v>88</v>
      </c>
      <c r="S732" s="8"/>
      <c r="T732" s="8"/>
    </row>
    <row r="733" customFormat="false" ht="15" hidden="false" customHeight="false" outlineLevel="0" collapsed="false">
      <c r="A733" s="7" t="s">
        <v>1063</v>
      </c>
      <c r="B733" s="8" t="s">
        <v>104</v>
      </c>
      <c r="C733" s="8" t="n">
        <v>28</v>
      </c>
      <c r="D733" s="8" t="s">
        <v>33</v>
      </c>
      <c r="E733" s="9" t="n">
        <v>45329</v>
      </c>
      <c r="F733" s="8" t="n">
        <f aca="true">IF(E733="","",ROUND((TODAY()-E733)/7,1))</f>
        <v>122.6</v>
      </c>
      <c r="G733" s="8" t="s">
        <v>38</v>
      </c>
      <c r="H733" s="8"/>
      <c r="I733" s="8" t="s">
        <v>192</v>
      </c>
      <c r="J733" s="8" t="s">
        <v>192</v>
      </c>
      <c r="K733" s="8" t="n">
        <v>2</v>
      </c>
      <c r="L733" s="10"/>
      <c r="M733" s="10"/>
      <c r="N733" s="10"/>
      <c r="O733" s="10"/>
      <c r="P733" s="8" t="str">
        <f aca="false">MID(IF(L733="","","; APP:"&amp;L733)&amp;IF(M733="","","; PS1:"&amp;M733)&amp;IF(N733="","","; AQP4:"&amp;N733)&amp;IF(O733="","","; CAG-EGFP:"&amp;O733),3,200)</f>
        <v/>
      </c>
      <c r="Q733" s="8" t="s">
        <v>82</v>
      </c>
      <c r="R733" s="8" t="s">
        <v>88</v>
      </c>
      <c r="S733" s="8"/>
      <c r="T733" s="8"/>
    </row>
    <row r="734" customFormat="false" ht="15" hidden="false" customHeight="false" outlineLevel="0" collapsed="false">
      <c r="A734" s="7" t="s">
        <v>1064</v>
      </c>
      <c r="B734" s="8" t="s">
        <v>104</v>
      </c>
      <c r="C734" s="8" t="n">
        <v>29</v>
      </c>
      <c r="D734" s="8" t="s">
        <v>33</v>
      </c>
      <c r="E734" s="9" t="n">
        <v>45329</v>
      </c>
      <c r="F734" s="8" t="n">
        <f aca="true">IF(E734="","",ROUND((TODAY()-E734)/7,1))</f>
        <v>122.6</v>
      </c>
      <c r="G734" s="8" t="s">
        <v>38</v>
      </c>
      <c r="H734" s="8"/>
      <c r="I734" s="8" t="s">
        <v>192</v>
      </c>
      <c r="J734" s="8" t="s">
        <v>192</v>
      </c>
      <c r="K734" s="8" t="n">
        <v>2</v>
      </c>
      <c r="L734" s="10"/>
      <c r="M734" s="10"/>
      <c r="N734" s="10"/>
      <c r="O734" s="10"/>
      <c r="P734" s="8" t="str">
        <f aca="false">MID(IF(L734="","","; APP:"&amp;L734)&amp;IF(M734="","","; PS1:"&amp;M734)&amp;IF(N734="","","; AQP4:"&amp;N734)&amp;IF(O734="","","; CAG-EGFP:"&amp;O734),3,200)</f>
        <v/>
      </c>
      <c r="Q734" s="8" t="s">
        <v>82</v>
      </c>
      <c r="R734" s="8" t="s">
        <v>88</v>
      </c>
      <c r="S734" s="8"/>
      <c r="T734" s="8"/>
    </row>
    <row r="735" customFormat="false" ht="17.15" hidden="false" customHeight="false" outlineLevel="0" collapsed="false">
      <c r="A735" s="7" t="s">
        <v>1065</v>
      </c>
      <c r="B735" s="8" t="s">
        <v>104</v>
      </c>
      <c r="C735" s="8" t="n">
        <v>30</v>
      </c>
      <c r="D735" s="8" t="s">
        <v>46</v>
      </c>
      <c r="E735" s="9" t="n">
        <v>45329</v>
      </c>
      <c r="F735" s="8" t="n">
        <f aca="true">IF(E735="","",ROUND((TODAY()-E735)/7,1))</f>
        <v>122.6</v>
      </c>
      <c r="G735" s="8" t="s">
        <v>38</v>
      </c>
      <c r="H735" s="8"/>
      <c r="I735" s="8" t="s">
        <v>192</v>
      </c>
      <c r="J735" s="8" t="s">
        <v>192</v>
      </c>
      <c r="K735" s="8" t="n">
        <v>2</v>
      </c>
      <c r="L735" s="10"/>
      <c r="M735" s="10"/>
      <c r="N735" s="10"/>
      <c r="O735" s="10"/>
      <c r="P735" s="8" t="str">
        <f aca="false">MID(IF(L735="","","; APP:"&amp;L735)&amp;IF(M735="","","; PS1:"&amp;M735)&amp;IF(N735="","","; AQP4:"&amp;N735)&amp;IF(O735="","","; CAG-EGFP:"&amp;O735),3,200)</f>
        <v/>
      </c>
      <c r="Q735" s="8" t="s">
        <v>82</v>
      </c>
      <c r="R735" s="8" t="s">
        <v>88</v>
      </c>
      <c r="S735" s="8"/>
      <c r="T735" s="8" t="s">
        <v>1037</v>
      </c>
    </row>
    <row r="736" customFormat="false" ht="17.15" hidden="false" customHeight="false" outlineLevel="0" collapsed="false">
      <c r="A736" s="7" t="s">
        <v>1066</v>
      </c>
      <c r="B736" s="8" t="s">
        <v>104</v>
      </c>
      <c r="C736" s="8" t="n">
        <v>31</v>
      </c>
      <c r="D736" s="8" t="s">
        <v>46</v>
      </c>
      <c r="E736" s="9" t="n">
        <v>45329</v>
      </c>
      <c r="F736" s="8" t="n">
        <f aca="true">IF(E736="","",ROUND((TODAY()-E736)/7,1))</f>
        <v>122.6</v>
      </c>
      <c r="G736" s="8" t="s">
        <v>38</v>
      </c>
      <c r="H736" s="8"/>
      <c r="I736" s="8" t="s">
        <v>192</v>
      </c>
      <c r="J736" s="8" t="s">
        <v>192</v>
      </c>
      <c r="K736" s="8" t="n">
        <v>2</v>
      </c>
      <c r="L736" s="10"/>
      <c r="M736" s="10"/>
      <c r="N736" s="10"/>
      <c r="O736" s="10"/>
      <c r="P736" s="8" t="str">
        <f aca="false">MID(IF(L736="","","; APP:"&amp;L736)&amp;IF(M736="","","; PS1:"&amp;M736)&amp;IF(N736="","","; AQP4:"&amp;N736)&amp;IF(O736="","","; CAG-EGFP:"&amp;O736),3,200)</f>
        <v/>
      </c>
      <c r="Q736" s="8" t="s">
        <v>82</v>
      </c>
      <c r="R736" s="8" t="s">
        <v>88</v>
      </c>
      <c r="S736" s="8"/>
      <c r="T736" s="8" t="s">
        <v>1037</v>
      </c>
    </row>
    <row r="737" customFormat="false" ht="17.15" hidden="false" customHeight="false" outlineLevel="0" collapsed="false">
      <c r="A737" s="7" t="s">
        <v>1067</v>
      </c>
      <c r="B737" s="8" t="s">
        <v>104</v>
      </c>
      <c r="C737" s="8" t="n">
        <v>32</v>
      </c>
      <c r="D737" s="8" t="s">
        <v>46</v>
      </c>
      <c r="E737" s="9" t="n">
        <v>45329</v>
      </c>
      <c r="F737" s="8" t="n">
        <f aca="true">IF(E737="","",ROUND((TODAY()-E737)/7,1))</f>
        <v>122.6</v>
      </c>
      <c r="G737" s="8" t="s">
        <v>38</v>
      </c>
      <c r="H737" s="8"/>
      <c r="I737" s="8" t="s">
        <v>192</v>
      </c>
      <c r="J737" s="8" t="s">
        <v>192</v>
      </c>
      <c r="K737" s="8" t="n">
        <v>2</v>
      </c>
      <c r="L737" s="10"/>
      <c r="M737" s="10"/>
      <c r="N737" s="10"/>
      <c r="O737" s="10"/>
      <c r="P737" s="8" t="str">
        <f aca="false">MID(IF(L737="","","; APP:"&amp;L737)&amp;IF(M737="","","; PS1:"&amp;M737)&amp;IF(N737="","","; AQP4:"&amp;N737)&amp;IF(O737="","","; CAG-EGFP:"&amp;O737),3,200)</f>
        <v/>
      </c>
      <c r="Q737" s="8" t="s">
        <v>82</v>
      </c>
      <c r="R737" s="8" t="s">
        <v>88</v>
      </c>
      <c r="S737" s="8"/>
      <c r="T737" s="8" t="s">
        <v>1037</v>
      </c>
    </row>
    <row r="738" customFormat="false" ht="15" hidden="false" customHeight="false" outlineLevel="0" collapsed="false">
      <c r="A738" s="7" t="s">
        <v>1068</v>
      </c>
      <c r="B738" s="8" t="s">
        <v>104</v>
      </c>
      <c r="C738" s="8" t="n">
        <v>33</v>
      </c>
      <c r="D738" s="8" t="s">
        <v>33</v>
      </c>
      <c r="E738" s="9" t="n">
        <v>45410</v>
      </c>
      <c r="F738" s="8" t="n">
        <f aca="true">IF(E738="","",ROUND((TODAY()-E738)/7,1))</f>
        <v>111</v>
      </c>
      <c r="G738" s="8" t="s">
        <v>38</v>
      </c>
      <c r="H738" s="8"/>
      <c r="I738" s="8" t="s">
        <v>192</v>
      </c>
      <c r="J738" s="8" t="s">
        <v>192</v>
      </c>
      <c r="K738" s="8" t="n">
        <v>2</v>
      </c>
      <c r="L738" s="10"/>
      <c r="M738" s="10"/>
      <c r="N738" s="10"/>
      <c r="O738" s="10"/>
      <c r="P738" s="8" t="str">
        <f aca="false">MID(IF(L738="","","; APP:"&amp;L738)&amp;IF(M738="","","; PS1:"&amp;M738)&amp;IF(N738="","","; AQP4:"&amp;N738)&amp;IF(O738="","","; CAG-EGFP:"&amp;O738),3,200)</f>
        <v/>
      </c>
      <c r="Q738" s="8" t="s">
        <v>82</v>
      </c>
      <c r="R738" s="8" t="s">
        <v>88</v>
      </c>
      <c r="S738" s="8"/>
      <c r="T738" s="8" t="s">
        <v>1069</v>
      </c>
    </row>
    <row r="739" customFormat="false" ht="15" hidden="false" customHeight="false" outlineLevel="0" collapsed="false">
      <c r="A739" s="7" t="s">
        <v>1070</v>
      </c>
      <c r="B739" s="8" t="s">
        <v>104</v>
      </c>
      <c r="C739" s="8" t="n">
        <v>34</v>
      </c>
      <c r="D739" s="8" t="s">
        <v>33</v>
      </c>
      <c r="E739" s="9" t="n">
        <v>45410</v>
      </c>
      <c r="F739" s="8" t="n">
        <f aca="true">IF(E739="","",ROUND((TODAY()-E739)/7,1))</f>
        <v>111</v>
      </c>
      <c r="G739" s="8" t="s">
        <v>38</v>
      </c>
      <c r="H739" s="8"/>
      <c r="I739" s="8" t="s">
        <v>192</v>
      </c>
      <c r="J739" s="8" t="s">
        <v>192</v>
      </c>
      <c r="K739" s="8" t="n">
        <v>2</v>
      </c>
      <c r="L739" s="10"/>
      <c r="M739" s="10"/>
      <c r="N739" s="10"/>
      <c r="O739" s="10"/>
      <c r="P739" s="8" t="str">
        <f aca="false">MID(IF(L739="","","; APP:"&amp;L739)&amp;IF(M739="","","; PS1:"&amp;M739)&amp;IF(N739="","","; AQP4:"&amp;N739)&amp;IF(O739="","","; CAG-EGFP:"&amp;O739),3,200)</f>
        <v/>
      </c>
      <c r="Q739" s="8" t="s">
        <v>82</v>
      </c>
      <c r="R739" s="8" t="s">
        <v>88</v>
      </c>
      <c r="S739" s="8"/>
      <c r="T739" s="8" t="s">
        <v>1069</v>
      </c>
    </row>
    <row r="740" customFormat="false" ht="15" hidden="false" customHeight="false" outlineLevel="0" collapsed="false">
      <c r="A740" s="7" t="s">
        <v>1071</v>
      </c>
      <c r="B740" s="8" t="s">
        <v>104</v>
      </c>
      <c r="C740" s="8" t="n">
        <v>35</v>
      </c>
      <c r="D740" s="8" t="s">
        <v>33</v>
      </c>
      <c r="E740" s="9" t="n">
        <v>45410</v>
      </c>
      <c r="F740" s="8" t="n">
        <f aca="true">IF(E740="","",ROUND((TODAY()-E740)/7,1))</f>
        <v>111</v>
      </c>
      <c r="G740" s="8" t="s">
        <v>38</v>
      </c>
      <c r="H740" s="8"/>
      <c r="I740" s="8" t="s">
        <v>192</v>
      </c>
      <c r="J740" s="8" t="s">
        <v>192</v>
      </c>
      <c r="K740" s="8" t="n">
        <v>2</v>
      </c>
      <c r="L740" s="10"/>
      <c r="M740" s="10"/>
      <c r="N740" s="10"/>
      <c r="O740" s="10"/>
      <c r="P740" s="8" t="str">
        <f aca="false">MID(IF(L740="","","; APP:"&amp;L740)&amp;IF(M740="","","; PS1:"&amp;M740)&amp;IF(N740="","","; AQP4:"&amp;N740)&amp;IF(O740="","","; CAG-EGFP:"&amp;O740),3,200)</f>
        <v/>
      </c>
      <c r="Q740" s="8" t="s">
        <v>82</v>
      </c>
      <c r="R740" s="8" t="s">
        <v>88</v>
      </c>
      <c r="S740" s="8"/>
      <c r="T740" s="8" t="s">
        <v>1069</v>
      </c>
    </row>
    <row r="741" customFormat="false" ht="15" hidden="false" customHeight="false" outlineLevel="0" collapsed="false">
      <c r="A741" s="7" t="s">
        <v>1072</v>
      </c>
      <c r="B741" s="8" t="s">
        <v>104</v>
      </c>
      <c r="C741" s="8" t="n">
        <v>36</v>
      </c>
      <c r="D741" s="8" t="s">
        <v>33</v>
      </c>
      <c r="E741" s="9" t="n">
        <v>45410</v>
      </c>
      <c r="F741" s="8" t="n">
        <f aca="true">IF(E741="","",ROUND((TODAY()-E741)/7,1))</f>
        <v>111</v>
      </c>
      <c r="G741" s="8" t="s">
        <v>38</v>
      </c>
      <c r="H741" s="8"/>
      <c r="I741" s="8" t="s">
        <v>192</v>
      </c>
      <c r="J741" s="8" t="s">
        <v>192</v>
      </c>
      <c r="K741" s="8" t="n">
        <v>2</v>
      </c>
      <c r="L741" s="10"/>
      <c r="M741" s="10"/>
      <c r="N741" s="10"/>
      <c r="O741" s="10"/>
      <c r="P741" s="8" t="str">
        <f aca="false">MID(IF(L741="","","; APP:"&amp;L741)&amp;IF(M741="","","; PS1:"&amp;M741)&amp;IF(N741="","","; AQP4:"&amp;N741)&amp;IF(O741="","","; CAG-EGFP:"&amp;O741),3,200)</f>
        <v/>
      </c>
      <c r="Q741" s="8" t="s">
        <v>82</v>
      </c>
      <c r="R741" s="8" t="s">
        <v>88</v>
      </c>
      <c r="S741" s="8"/>
      <c r="T741" s="8"/>
    </row>
    <row r="742" customFormat="false" ht="15" hidden="false" customHeight="false" outlineLevel="0" collapsed="false">
      <c r="A742" s="7" t="s">
        <v>1073</v>
      </c>
      <c r="B742" s="8" t="s">
        <v>104</v>
      </c>
      <c r="C742" s="8" t="n">
        <v>37</v>
      </c>
      <c r="D742" s="8" t="s">
        <v>33</v>
      </c>
      <c r="E742" s="9" t="n">
        <v>45410</v>
      </c>
      <c r="F742" s="8" t="n">
        <f aca="true">IF(E742="","",ROUND((TODAY()-E742)/7,1))</f>
        <v>111</v>
      </c>
      <c r="G742" s="8" t="s">
        <v>38</v>
      </c>
      <c r="H742" s="8"/>
      <c r="I742" s="8" t="s">
        <v>192</v>
      </c>
      <c r="J742" s="8" t="s">
        <v>192</v>
      </c>
      <c r="K742" s="8" t="n">
        <v>2</v>
      </c>
      <c r="L742" s="10"/>
      <c r="M742" s="10"/>
      <c r="N742" s="10"/>
      <c r="O742" s="10"/>
      <c r="P742" s="8" t="str">
        <f aca="false">MID(IF(L742="","","; APP:"&amp;L742)&amp;IF(M742="","","; PS1:"&amp;M742)&amp;IF(N742="","","; AQP4:"&amp;N742)&amp;IF(O742="","","; CAG-EGFP:"&amp;O742),3,200)</f>
        <v/>
      </c>
      <c r="Q742" s="8" t="s">
        <v>82</v>
      </c>
      <c r="R742" s="8" t="s">
        <v>88</v>
      </c>
      <c r="S742" s="8"/>
      <c r="T742" s="8"/>
    </row>
    <row r="743" customFormat="false" ht="15" hidden="false" customHeight="false" outlineLevel="0" collapsed="false">
      <c r="A743" s="7" t="s">
        <v>1074</v>
      </c>
      <c r="B743" s="8" t="s">
        <v>104</v>
      </c>
      <c r="C743" s="8" t="n">
        <v>38</v>
      </c>
      <c r="D743" s="8" t="s">
        <v>33</v>
      </c>
      <c r="E743" s="9" t="n">
        <v>45410</v>
      </c>
      <c r="F743" s="8" t="n">
        <f aca="true">IF(E743="","",ROUND((TODAY()-E743)/7,1))</f>
        <v>111</v>
      </c>
      <c r="G743" s="8" t="s">
        <v>38</v>
      </c>
      <c r="H743" s="8"/>
      <c r="I743" s="8" t="s">
        <v>192</v>
      </c>
      <c r="J743" s="8" t="s">
        <v>192</v>
      </c>
      <c r="K743" s="8" t="n">
        <v>2</v>
      </c>
      <c r="L743" s="10"/>
      <c r="M743" s="10"/>
      <c r="N743" s="10"/>
      <c r="O743" s="10"/>
      <c r="P743" s="8" t="str">
        <f aca="false">MID(IF(L743="","","; APP:"&amp;L743)&amp;IF(M743="","","; PS1:"&amp;M743)&amp;IF(N743="","","; AQP4:"&amp;N743)&amp;IF(O743="","","; CAG-EGFP:"&amp;O743),3,200)</f>
        <v/>
      </c>
      <c r="Q743" s="8" t="s">
        <v>82</v>
      </c>
      <c r="R743" s="8" t="s">
        <v>88</v>
      </c>
      <c r="S743" s="8"/>
      <c r="T743" s="8"/>
    </row>
    <row r="744" customFormat="false" ht="15" hidden="false" customHeight="false" outlineLevel="0" collapsed="false">
      <c r="A744" s="7" t="s">
        <v>1075</v>
      </c>
      <c r="B744" s="8" t="s">
        <v>104</v>
      </c>
      <c r="C744" s="8" t="n">
        <v>39</v>
      </c>
      <c r="D744" s="8" t="s">
        <v>46</v>
      </c>
      <c r="E744" s="9" t="n">
        <v>45410</v>
      </c>
      <c r="F744" s="8" t="n">
        <f aca="true">IF(E744="","",ROUND((TODAY()-E744)/7,1))</f>
        <v>111</v>
      </c>
      <c r="G744" s="8" t="s">
        <v>38</v>
      </c>
      <c r="H744" s="8"/>
      <c r="I744" s="8" t="s">
        <v>192</v>
      </c>
      <c r="J744" s="8" t="s">
        <v>192</v>
      </c>
      <c r="K744" s="8" t="n">
        <v>2</v>
      </c>
      <c r="L744" s="10"/>
      <c r="M744" s="10"/>
      <c r="N744" s="10"/>
      <c r="O744" s="10"/>
      <c r="P744" s="8" t="str">
        <f aca="false">MID(IF(L744="","","; APP:"&amp;L744)&amp;IF(M744="","","; PS1:"&amp;M744)&amp;IF(N744="","","; AQP4:"&amp;N744)&amp;IF(O744="","","; CAG-EGFP:"&amp;O744),3,200)</f>
        <v/>
      </c>
      <c r="Q744" s="8" t="s">
        <v>82</v>
      </c>
      <c r="R744" s="8" t="s">
        <v>88</v>
      </c>
      <c r="S744" s="8"/>
      <c r="T744" s="8"/>
    </row>
    <row r="745" customFormat="false" ht="15" hidden="false" customHeight="false" outlineLevel="0" collapsed="false">
      <c r="A745" s="7" t="s">
        <v>1076</v>
      </c>
      <c r="B745" s="8" t="s">
        <v>104</v>
      </c>
      <c r="C745" s="8" t="n">
        <v>40</v>
      </c>
      <c r="D745" s="8" t="s">
        <v>46</v>
      </c>
      <c r="E745" s="9" t="n">
        <v>45410</v>
      </c>
      <c r="F745" s="8" t="n">
        <f aca="true">IF(E745="","",ROUND((TODAY()-E745)/7,1))</f>
        <v>111</v>
      </c>
      <c r="G745" s="8" t="s">
        <v>38</v>
      </c>
      <c r="H745" s="8"/>
      <c r="I745" s="8" t="s">
        <v>192</v>
      </c>
      <c r="J745" s="8" t="s">
        <v>192</v>
      </c>
      <c r="K745" s="8" t="n">
        <v>2</v>
      </c>
      <c r="L745" s="10"/>
      <c r="M745" s="10"/>
      <c r="N745" s="10"/>
      <c r="O745" s="10"/>
      <c r="P745" s="8" t="str">
        <f aca="false">MID(IF(L745="","","; APP:"&amp;L745)&amp;IF(M745="","","; PS1:"&amp;M745)&amp;IF(N745="","","; AQP4:"&amp;N745)&amp;IF(O745="","","; CAG-EGFP:"&amp;O745),3,200)</f>
        <v/>
      </c>
      <c r="Q745" s="8" t="s">
        <v>82</v>
      </c>
      <c r="R745" s="8" t="s">
        <v>88</v>
      </c>
      <c r="S745" s="8"/>
      <c r="T745" s="8"/>
    </row>
    <row r="746" customFormat="false" ht="15" hidden="false" customHeight="false" outlineLevel="0" collapsed="false">
      <c r="A746" s="7" t="s">
        <v>1077</v>
      </c>
      <c r="B746" s="8" t="s">
        <v>104</v>
      </c>
      <c r="C746" s="8" t="n">
        <v>41</v>
      </c>
      <c r="D746" s="8" t="s">
        <v>46</v>
      </c>
      <c r="E746" s="9" t="n">
        <v>45410</v>
      </c>
      <c r="F746" s="8" t="n">
        <f aca="true">IF(E746="","",ROUND((TODAY()-E746)/7,1))</f>
        <v>111</v>
      </c>
      <c r="G746" s="8" t="s">
        <v>38</v>
      </c>
      <c r="H746" s="8"/>
      <c r="I746" s="8" t="s">
        <v>192</v>
      </c>
      <c r="J746" s="8" t="s">
        <v>192</v>
      </c>
      <c r="K746" s="8" t="n">
        <v>2</v>
      </c>
      <c r="L746" s="10"/>
      <c r="M746" s="10"/>
      <c r="N746" s="10"/>
      <c r="O746" s="10"/>
      <c r="P746" s="8" t="str">
        <f aca="false">MID(IF(L746="","","; APP:"&amp;L746)&amp;IF(M746="","","; PS1:"&amp;M746)&amp;IF(N746="","","; AQP4:"&amp;N746)&amp;IF(O746="","","; CAG-EGFP:"&amp;O746),3,200)</f>
        <v/>
      </c>
      <c r="Q746" s="8" t="s">
        <v>82</v>
      </c>
      <c r="R746" s="8" t="s">
        <v>88</v>
      </c>
      <c r="S746" s="8"/>
      <c r="T746" s="8"/>
    </row>
    <row r="747" customFormat="false" ht="17.15" hidden="false" customHeight="false" outlineLevel="0" collapsed="false">
      <c r="A747" s="7" t="s">
        <v>1078</v>
      </c>
      <c r="B747" s="8" t="s">
        <v>104</v>
      </c>
      <c r="C747" s="8" t="n">
        <v>42</v>
      </c>
      <c r="D747" s="8" t="s">
        <v>33</v>
      </c>
      <c r="E747" s="9" t="n">
        <v>45439</v>
      </c>
      <c r="F747" s="8" t="n">
        <f aca="true">IF(E747="","",ROUND((TODAY()-E747)/7,1))</f>
        <v>106.9</v>
      </c>
      <c r="G747" s="8" t="s">
        <v>52</v>
      </c>
      <c r="H747" s="8"/>
      <c r="I747" s="8" t="s">
        <v>192</v>
      </c>
      <c r="J747" s="8" t="s">
        <v>192</v>
      </c>
      <c r="K747" s="8" t="n">
        <v>1</v>
      </c>
      <c r="L747" s="10"/>
      <c r="M747" s="10"/>
      <c r="N747" s="10"/>
      <c r="O747" s="10"/>
      <c r="P747" s="8" t="str">
        <f aca="false">MID(IF(L747="","","; APP:"&amp;L747)&amp;IF(M747="","","; PS1:"&amp;M747)&amp;IF(N747="","","; AQP4:"&amp;N747)&amp;IF(O747="","","; CAG-EGFP:"&amp;O747),3,200)</f>
        <v/>
      </c>
      <c r="Q747" s="8" t="s">
        <v>82</v>
      </c>
      <c r="R747" s="8" t="s">
        <v>88</v>
      </c>
      <c r="S747" s="8"/>
      <c r="T747" s="11" t="s">
        <v>1079</v>
      </c>
    </row>
    <row r="748" customFormat="false" ht="17.15" hidden="false" customHeight="false" outlineLevel="0" collapsed="false">
      <c r="A748" s="7" t="s">
        <v>1080</v>
      </c>
      <c r="B748" s="8" t="s">
        <v>104</v>
      </c>
      <c r="C748" s="8" t="n">
        <v>43</v>
      </c>
      <c r="D748" s="8" t="s">
        <v>33</v>
      </c>
      <c r="E748" s="9" t="n">
        <v>45439</v>
      </c>
      <c r="F748" s="8" t="n">
        <f aca="true">IF(E748="","",ROUND((TODAY()-E748)/7,1))</f>
        <v>106.9</v>
      </c>
      <c r="G748" s="8" t="s">
        <v>52</v>
      </c>
      <c r="H748" s="8"/>
      <c r="I748" s="8" t="s">
        <v>192</v>
      </c>
      <c r="J748" s="8" t="s">
        <v>192</v>
      </c>
      <c r="K748" s="8" t="n">
        <v>1</v>
      </c>
      <c r="L748" s="10"/>
      <c r="M748" s="10"/>
      <c r="N748" s="10"/>
      <c r="O748" s="10"/>
      <c r="P748" s="8" t="str">
        <f aca="false">MID(IF(L748="","","; APP:"&amp;L748)&amp;IF(M748="","","; PS1:"&amp;M748)&amp;IF(N748="","","; AQP4:"&amp;N748)&amp;IF(O748="","","; CAG-EGFP:"&amp;O748),3,200)</f>
        <v/>
      </c>
      <c r="Q748" s="8" t="s">
        <v>82</v>
      </c>
      <c r="R748" s="8" t="s">
        <v>88</v>
      </c>
      <c r="S748" s="8"/>
      <c r="T748" s="11" t="s">
        <v>1081</v>
      </c>
    </row>
    <row r="749" customFormat="false" ht="17.15" hidden="false" customHeight="false" outlineLevel="0" collapsed="false">
      <c r="A749" s="7" t="s">
        <v>1082</v>
      </c>
      <c r="B749" s="8" t="s">
        <v>104</v>
      </c>
      <c r="C749" s="8" t="n">
        <v>44</v>
      </c>
      <c r="D749" s="8" t="s">
        <v>33</v>
      </c>
      <c r="E749" s="9" t="n">
        <v>45439</v>
      </c>
      <c r="F749" s="8" t="n">
        <f aca="true">IF(E749="","",ROUND((TODAY()-E749)/7,1))</f>
        <v>106.9</v>
      </c>
      <c r="G749" s="8" t="s">
        <v>52</v>
      </c>
      <c r="H749" s="8"/>
      <c r="I749" s="8" t="s">
        <v>192</v>
      </c>
      <c r="J749" s="8" t="s">
        <v>192</v>
      </c>
      <c r="K749" s="8" t="n">
        <v>1</v>
      </c>
      <c r="L749" s="10"/>
      <c r="M749" s="10"/>
      <c r="N749" s="10"/>
      <c r="O749" s="10"/>
      <c r="P749" s="8" t="str">
        <f aca="false">MID(IF(L749="","","; APP:"&amp;L749)&amp;IF(M749="","","; PS1:"&amp;M749)&amp;IF(N749="","","; AQP4:"&amp;N749)&amp;IF(O749="","","; CAG-EGFP:"&amp;O749),3,200)</f>
        <v/>
      </c>
      <c r="Q749" s="8" t="s">
        <v>82</v>
      </c>
      <c r="R749" s="8" t="s">
        <v>88</v>
      </c>
      <c r="S749" s="8"/>
      <c r="T749" s="11" t="s">
        <v>1081</v>
      </c>
    </row>
    <row r="750" customFormat="false" ht="17.15" hidden="false" customHeight="false" outlineLevel="0" collapsed="false">
      <c r="A750" s="7" t="s">
        <v>1083</v>
      </c>
      <c r="B750" s="8" t="s">
        <v>104</v>
      </c>
      <c r="C750" s="8" t="n">
        <v>45</v>
      </c>
      <c r="D750" s="8" t="s">
        <v>33</v>
      </c>
      <c r="E750" s="9" t="n">
        <v>45439</v>
      </c>
      <c r="F750" s="8" t="n">
        <f aca="true">IF(E750="","",ROUND((TODAY()-E750)/7,1))</f>
        <v>106.9</v>
      </c>
      <c r="G750" s="8" t="s">
        <v>52</v>
      </c>
      <c r="H750" s="8"/>
      <c r="I750" s="8" t="s">
        <v>192</v>
      </c>
      <c r="J750" s="8" t="s">
        <v>192</v>
      </c>
      <c r="K750" s="8" t="n">
        <v>1</v>
      </c>
      <c r="L750" s="10"/>
      <c r="M750" s="10"/>
      <c r="N750" s="10"/>
      <c r="O750" s="10"/>
      <c r="P750" s="8" t="str">
        <f aca="false">MID(IF(L750="","","; APP:"&amp;L750)&amp;IF(M750="","","; PS1:"&amp;M750)&amp;IF(N750="","","; AQP4:"&amp;N750)&amp;IF(O750="","","; CAG-EGFP:"&amp;O750),3,200)</f>
        <v/>
      </c>
      <c r="Q750" s="8" t="s">
        <v>82</v>
      </c>
      <c r="R750" s="8" t="s">
        <v>88</v>
      </c>
      <c r="S750" s="8"/>
      <c r="T750" s="11" t="s">
        <v>1081</v>
      </c>
    </row>
    <row r="751" customFormat="false" ht="17.15" hidden="false" customHeight="false" outlineLevel="0" collapsed="false">
      <c r="A751" s="7" t="s">
        <v>1084</v>
      </c>
      <c r="B751" s="8" t="s">
        <v>104</v>
      </c>
      <c r="C751" s="8" t="n">
        <v>46</v>
      </c>
      <c r="D751" s="8" t="s">
        <v>33</v>
      </c>
      <c r="E751" s="9" t="n">
        <v>45439</v>
      </c>
      <c r="F751" s="8" t="n">
        <f aca="true">IF(E751="","",ROUND((TODAY()-E751)/7,1))</f>
        <v>106.9</v>
      </c>
      <c r="G751" s="8" t="s">
        <v>52</v>
      </c>
      <c r="H751" s="8"/>
      <c r="I751" s="8" t="s">
        <v>192</v>
      </c>
      <c r="J751" s="8" t="s">
        <v>192</v>
      </c>
      <c r="K751" s="8" t="n">
        <v>1</v>
      </c>
      <c r="L751" s="10"/>
      <c r="M751" s="10"/>
      <c r="N751" s="10"/>
      <c r="O751" s="10"/>
      <c r="P751" s="8" t="str">
        <f aca="false">MID(IF(L751="","","; APP:"&amp;L751)&amp;IF(M751="","","; PS1:"&amp;M751)&amp;IF(N751="","","; AQP4:"&amp;N751)&amp;IF(O751="","","; CAG-EGFP:"&amp;O751),3,200)</f>
        <v/>
      </c>
      <c r="Q751" s="8" t="s">
        <v>82</v>
      </c>
      <c r="R751" s="8" t="s">
        <v>88</v>
      </c>
      <c r="S751" s="8"/>
      <c r="T751" s="11" t="s">
        <v>1081</v>
      </c>
    </row>
    <row r="752" customFormat="false" ht="17.15" hidden="false" customHeight="false" outlineLevel="0" collapsed="false">
      <c r="A752" s="7" t="s">
        <v>1085</v>
      </c>
      <c r="B752" s="8" t="s">
        <v>104</v>
      </c>
      <c r="C752" s="8" t="n">
        <v>47</v>
      </c>
      <c r="D752" s="8" t="s">
        <v>33</v>
      </c>
      <c r="E752" s="9" t="n">
        <v>45439</v>
      </c>
      <c r="F752" s="8" t="n">
        <f aca="true">IF(E752="","",ROUND((TODAY()-E752)/7,1))</f>
        <v>106.9</v>
      </c>
      <c r="G752" s="8" t="s">
        <v>52</v>
      </c>
      <c r="H752" s="8"/>
      <c r="I752" s="8" t="s">
        <v>192</v>
      </c>
      <c r="J752" s="8" t="s">
        <v>192</v>
      </c>
      <c r="K752" s="8" t="n">
        <v>1</v>
      </c>
      <c r="L752" s="10"/>
      <c r="M752" s="10"/>
      <c r="N752" s="10"/>
      <c r="O752" s="10"/>
      <c r="P752" s="8" t="str">
        <f aca="false">MID(IF(L752="","","; APP:"&amp;L752)&amp;IF(M752="","","; PS1:"&amp;M752)&amp;IF(N752="","","; AQP4:"&amp;N752)&amp;IF(O752="","","; CAG-EGFP:"&amp;O752),3,200)</f>
        <v/>
      </c>
      <c r="Q752" s="8" t="s">
        <v>82</v>
      </c>
      <c r="R752" s="8" t="s">
        <v>88</v>
      </c>
      <c r="S752" s="8"/>
      <c r="T752" s="11" t="s">
        <v>1081</v>
      </c>
    </row>
    <row r="753" customFormat="false" ht="17.15" hidden="false" customHeight="false" outlineLevel="0" collapsed="false">
      <c r="A753" s="7" t="s">
        <v>1086</v>
      </c>
      <c r="B753" s="8" t="s">
        <v>104</v>
      </c>
      <c r="C753" s="8" t="n">
        <v>48</v>
      </c>
      <c r="D753" s="8" t="s">
        <v>33</v>
      </c>
      <c r="E753" s="9" t="n">
        <v>45439</v>
      </c>
      <c r="F753" s="8" t="n">
        <f aca="true">IF(E753="","",ROUND((TODAY()-E753)/7,1))</f>
        <v>106.9</v>
      </c>
      <c r="G753" s="8" t="s">
        <v>52</v>
      </c>
      <c r="H753" s="8"/>
      <c r="I753" s="8" t="s">
        <v>192</v>
      </c>
      <c r="J753" s="8" t="s">
        <v>192</v>
      </c>
      <c r="K753" s="8" t="n">
        <v>1</v>
      </c>
      <c r="L753" s="10"/>
      <c r="M753" s="10"/>
      <c r="N753" s="10"/>
      <c r="O753" s="10"/>
      <c r="P753" s="8" t="str">
        <f aca="false">MID(IF(L753="","","; APP:"&amp;L753)&amp;IF(M753="","","; PS1:"&amp;M753)&amp;IF(N753="","","; AQP4:"&amp;N753)&amp;IF(O753="","","; CAG-EGFP:"&amp;O753),3,200)</f>
        <v/>
      </c>
      <c r="Q753" s="8" t="s">
        <v>82</v>
      </c>
      <c r="R753" s="8" t="s">
        <v>88</v>
      </c>
      <c r="S753" s="8"/>
      <c r="T753" s="11" t="s">
        <v>1081</v>
      </c>
    </row>
    <row r="754" customFormat="false" ht="17.15" hidden="false" customHeight="false" outlineLevel="0" collapsed="false">
      <c r="A754" s="7" t="s">
        <v>1087</v>
      </c>
      <c r="B754" s="8" t="s">
        <v>104</v>
      </c>
      <c r="C754" s="8" t="n">
        <v>49</v>
      </c>
      <c r="D754" s="8" t="s">
        <v>33</v>
      </c>
      <c r="E754" s="9" t="n">
        <v>45439</v>
      </c>
      <c r="F754" s="8" t="n">
        <f aca="true">IF(E754="","",ROUND((TODAY()-E754)/7,1))</f>
        <v>106.9</v>
      </c>
      <c r="G754" s="8" t="s">
        <v>52</v>
      </c>
      <c r="H754" s="8"/>
      <c r="I754" s="8" t="s">
        <v>192</v>
      </c>
      <c r="J754" s="8" t="s">
        <v>192</v>
      </c>
      <c r="K754" s="8" t="n">
        <v>1</v>
      </c>
      <c r="L754" s="10"/>
      <c r="M754" s="10"/>
      <c r="N754" s="10"/>
      <c r="O754" s="10"/>
      <c r="P754" s="8" t="str">
        <f aca="false">MID(IF(L754="","","; APP:"&amp;L754)&amp;IF(M754="","","; PS1:"&amp;M754)&amp;IF(N754="","","; AQP4:"&amp;N754)&amp;IF(O754="","","; CAG-EGFP:"&amp;O754),3,200)</f>
        <v/>
      </c>
      <c r="Q754" s="8" t="s">
        <v>82</v>
      </c>
      <c r="R754" s="8" t="s">
        <v>88</v>
      </c>
      <c r="S754" s="8"/>
      <c r="T754" s="11" t="s">
        <v>1088</v>
      </c>
    </row>
    <row r="755" customFormat="false" ht="17.15" hidden="false" customHeight="false" outlineLevel="0" collapsed="false">
      <c r="A755" s="7" t="s">
        <v>1089</v>
      </c>
      <c r="B755" s="8" t="s">
        <v>104</v>
      </c>
      <c r="C755" s="8" t="n">
        <v>50</v>
      </c>
      <c r="D755" s="8" t="s">
        <v>33</v>
      </c>
      <c r="E755" s="9" t="n">
        <v>45439</v>
      </c>
      <c r="F755" s="8" t="n">
        <f aca="true">IF(E755="","",ROUND((TODAY()-E755)/7,1))</f>
        <v>106.9</v>
      </c>
      <c r="G755" s="8" t="s">
        <v>52</v>
      </c>
      <c r="H755" s="8"/>
      <c r="I755" s="8" t="s">
        <v>192</v>
      </c>
      <c r="J755" s="8" t="s">
        <v>192</v>
      </c>
      <c r="K755" s="8" t="n">
        <v>1</v>
      </c>
      <c r="L755" s="10"/>
      <c r="M755" s="10"/>
      <c r="N755" s="10"/>
      <c r="O755" s="10"/>
      <c r="P755" s="8" t="str">
        <f aca="false">MID(IF(L755="","","; APP:"&amp;L755)&amp;IF(M755="","","; PS1:"&amp;M755)&amp;IF(N755="","","; AQP4:"&amp;N755)&amp;IF(O755="","","; CAG-EGFP:"&amp;O755),3,200)</f>
        <v/>
      </c>
      <c r="Q755" s="8" t="s">
        <v>82</v>
      </c>
      <c r="R755" s="8" t="s">
        <v>88</v>
      </c>
      <c r="S755" s="8"/>
      <c r="T755" s="11" t="s">
        <v>1088</v>
      </c>
    </row>
    <row r="756" customFormat="false" ht="17.15" hidden="false" customHeight="false" outlineLevel="0" collapsed="false">
      <c r="A756" s="7" t="s">
        <v>1090</v>
      </c>
      <c r="B756" s="8" t="s">
        <v>104</v>
      </c>
      <c r="C756" s="8" t="n">
        <v>51</v>
      </c>
      <c r="D756" s="8" t="s">
        <v>33</v>
      </c>
      <c r="E756" s="9" t="n">
        <v>45439</v>
      </c>
      <c r="F756" s="8" t="n">
        <f aca="true">IF(E756="","",ROUND((TODAY()-E756)/7,1))</f>
        <v>106.9</v>
      </c>
      <c r="G756" s="8" t="s">
        <v>52</v>
      </c>
      <c r="H756" s="8"/>
      <c r="I756" s="8" t="s">
        <v>192</v>
      </c>
      <c r="J756" s="8" t="s">
        <v>192</v>
      </c>
      <c r="K756" s="8" t="n">
        <v>1</v>
      </c>
      <c r="L756" s="10"/>
      <c r="M756" s="10"/>
      <c r="N756" s="10"/>
      <c r="O756" s="10"/>
      <c r="P756" s="8" t="str">
        <f aca="false">MID(IF(L756="","","; APP:"&amp;L756)&amp;IF(M756="","","; PS1:"&amp;M756)&amp;IF(N756="","","; AQP4:"&amp;N756)&amp;IF(O756="","","; CAG-EGFP:"&amp;O756),3,200)</f>
        <v/>
      </c>
      <c r="Q756" s="8" t="s">
        <v>82</v>
      </c>
      <c r="R756" s="8" t="s">
        <v>88</v>
      </c>
      <c r="S756" s="8"/>
      <c r="T756" s="11" t="s">
        <v>1079</v>
      </c>
    </row>
    <row r="757" customFormat="false" ht="17.15" hidden="false" customHeight="false" outlineLevel="0" collapsed="false">
      <c r="A757" s="7" t="s">
        <v>1091</v>
      </c>
      <c r="B757" s="8" t="s">
        <v>104</v>
      </c>
      <c r="C757" s="8" t="n">
        <v>52</v>
      </c>
      <c r="D757" s="8" t="s">
        <v>33</v>
      </c>
      <c r="E757" s="9" t="n">
        <v>45439</v>
      </c>
      <c r="F757" s="8" t="n">
        <f aca="true">IF(E757="","",ROUND((TODAY()-E757)/7,1))</f>
        <v>106.9</v>
      </c>
      <c r="G757" s="8" t="s">
        <v>52</v>
      </c>
      <c r="H757" s="8"/>
      <c r="I757" s="8" t="s">
        <v>192</v>
      </c>
      <c r="J757" s="8" t="s">
        <v>192</v>
      </c>
      <c r="K757" s="8" t="n">
        <v>1</v>
      </c>
      <c r="L757" s="10"/>
      <c r="M757" s="10"/>
      <c r="N757" s="10"/>
      <c r="O757" s="10"/>
      <c r="P757" s="8" t="str">
        <f aca="false">MID(IF(L757="","","; APP:"&amp;L757)&amp;IF(M757="","","; PS1:"&amp;M757)&amp;IF(N757="","","; AQP4:"&amp;N757)&amp;IF(O757="","","; CAG-EGFP:"&amp;O757),3,200)</f>
        <v/>
      </c>
      <c r="Q757" s="8" t="s">
        <v>82</v>
      </c>
      <c r="R757" s="8" t="s">
        <v>88</v>
      </c>
      <c r="S757" s="8"/>
      <c r="T757" s="11" t="s">
        <v>1079</v>
      </c>
    </row>
    <row r="758" customFormat="false" ht="17.15" hidden="false" customHeight="false" outlineLevel="0" collapsed="false">
      <c r="A758" s="7" t="s">
        <v>1092</v>
      </c>
      <c r="B758" s="8" t="s">
        <v>104</v>
      </c>
      <c r="C758" s="8" t="n">
        <v>53</v>
      </c>
      <c r="D758" s="8" t="s">
        <v>33</v>
      </c>
      <c r="E758" s="9" t="n">
        <v>45453</v>
      </c>
      <c r="F758" s="8" t="n">
        <f aca="true">IF(E758="","",ROUND((TODAY()-E758)/7,1))</f>
        <v>104.9</v>
      </c>
      <c r="G758" s="8" t="s">
        <v>52</v>
      </c>
      <c r="H758" s="8"/>
      <c r="I758" s="8" t="s">
        <v>192</v>
      </c>
      <c r="J758" s="8" t="s">
        <v>192</v>
      </c>
      <c r="K758" s="8" t="n">
        <v>1</v>
      </c>
      <c r="L758" s="10"/>
      <c r="M758" s="10"/>
      <c r="N758" s="10"/>
      <c r="O758" s="10"/>
      <c r="P758" s="8" t="str">
        <f aca="false">MID(IF(L758="","","; APP:"&amp;L758)&amp;IF(M758="","","; PS1:"&amp;M758)&amp;IF(N758="","","; AQP4:"&amp;N758)&amp;IF(O758="","","; CAG-EGFP:"&amp;O758),3,200)</f>
        <v/>
      </c>
      <c r="Q758" s="8" t="s">
        <v>82</v>
      </c>
      <c r="R758" s="8" t="s">
        <v>88</v>
      </c>
      <c r="S758" s="8"/>
      <c r="T758" s="11" t="s">
        <v>1093</v>
      </c>
    </row>
    <row r="759" customFormat="false" ht="17.15" hidden="false" customHeight="false" outlineLevel="0" collapsed="false">
      <c r="A759" s="7" t="s">
        <v>1094</v>
      </c>
      <c r="B759" s="8" t="s">
        <v>104</v>
      </c>
      <c r="C759" s="8" t="n">
        <v>54</v>
      </c>
      <c r="D759" s="8" t="s">
        <v>33</v>
      </c>
      <c r="E759" s="9" t="n">
        <v>45453</v>
      </c>
      <c r="F759" s="8" t="n">
        <f aca="true">IF(E759="","",ROUND((TODAY()-E759)/7,1))</f>
        <v>104.9</v>
      </c>
      <c r="G759" s="8" t="s">
        <v>52</v>
      </c>
      <c r="H759" s="8"/>
      <c r="I759" s="8" t="s">
        <v>192</v>
      </c>
      <c r="J759" s="8" t="s">
        <v>192</v>
      </c>
      <c r="K759" s="8" t="n">
        <v>1</v>
      </c>
      <c r="L759" s="10"/>
      <c r="M759" s="10"/>
      <c r="N759" s="10"/>
      <c r="O759" s="10"/>
      <c r="P759" s="8" t="str">
        <f aca="false">MID(IF(L759="","","; APP:"&amp;L759)&amp;IF(M759="","","; PS1:"&amp;M759)&amp;IF(N759="","","; AQP4:"&amp;N759)&amp;IF(O759="","","; CAG-EGFP:"&amp;O759),3,200)</f>
        <v/>
      </c>
      <c r="Q759" s="8" t="s">
        <v>82</v>
      </c>
      <c r="R759" s="8" t="s">
        <v>88</v>
      </c>
      <c r="S759" s="8"/>
      <c r="T759" s="11" t="s">
        <v>1093</v>
      </c>
    </row>
    <row r="760" customFormat="false" ht="17.15" hidden="false" customHeight="false" outlineLevel="0" collapsed="false">
      <c r="A760" s="7" t="s">
        <v>1095</v>
      </c>
      <c r="B760" s="8" t="s">
        <v>104</v>
      </c>
      <c r="C760" s="8" t="n">
        <v>55</v>
      </c>
      <c r="D760" s="8" t="s">
        <v>33</v>
      </c>
      <c r="E760" s="9" t="n">
        <v>45453</v>
      </c>
      <c r="F760" s="8" t="n">
        <f aca="true">IF(E760="","",ROUND((TODAY()-E760)/7,1))</f>
        <v>104.9</v>
      </c>
      <c r="G760" s="8" t="s">
        <v>52</v>
      </c>
      <c r="H760" s="8"/>
      <c r="I760" s="8" t="s">
        <v>192</v>
      </c>
      <c r="J760" s="8" t="s">
        <v>192</v>
      </c>
      <c r="K760" s="8" t="n">
        <v>1</v>
      </c>
      <c r="L760" s="10"/>
      <c r="M760" s="10"/>
      <c r="N760" s="10"/>
      <c r="O760" s="10"/>
      <c r="P760" s="8" t="str">
        <f aca="false">MID(IF(L760="","","; APP:"&amp;L760)&amp;IF(M760="","","; PS1:"&amp;M760)&amp;IF(N760="","","; AQP4:"&amp;N760)&amp;IF(O760="","","; CAG-EGFP:"&amp;O760),3,200)</f>
        <v/>
      </c>
      <c r="Q760" s="8" t="s">
        <v>82</v>
      </c>
      <c r="R760" s="8" t="s">
        <v>88</v>
      </c>
      <c r="S760" s="8"/>
      <c r="T760" s="11" t="s">
        <v>1093</v>
      </c>
    </row>
    <row r="761" customFormat="false" ht="17.15" hidden="false" customHeight="false" outlineLevel="0" collapsed="false">
      <c r="A761" s="7" t="s">
        <v>1096</v>
      </c>
      <c r="B761" s="8" t="s">
        <v>104</v>
      </c>
      <c r="C761" s="8" t="n">
        <v>56</v>
      </c>
      <c r="D761" s="8" t="s">
        <v>33</v>
      </c>
      <c r="E761" s="9" t="n">
        <v>45453</v>
      </c>
      <c r="F761" s="8" t="n">
        <f aca="true">IF(E761="","",ROUND((TODAY()-E761)/7,1))</f>
        <v>104.9</v>
      </c>
      <c r="G761" s="8" t="s">
        <v>52</v>
      </c>
      <c r="H761" s="8"/>
      <c r="I761" s="8" t="s">
        <v>192</v>
      </c>
      <c r="J761" s="8" t="s">
        <v>192</v>
      </c>
      <c r="K761" s="8" t="n">
        <v>1</v>
      </c>
      <c r="L761" s="10"/>
      <c r="M761" s="10"/>
      <c r="N761" s="10"/>
      <c r="O761" s="10"/>
      <c r="P761" s="8" t="str">
        <f aca="false">MID(IF(L761="","","; APP:"&amp;L761)&amp;IF(M761="","","; PS1:"&amp;M761)&amp;IF(N761="","","; AQP4:"&amp;N761)&amp;IF(O761="","","; CAG-EGFP:"&amp;O761),3,200)</f>
        <v/>
      </c>
      <c r="Q761" s="8" t="s">
        <v>82</v>
      </c>
      <c r="R761" s="8" t="s">
        <v>88</v>
      </c>
      <c r="S761" s="8"/>
      <c r="T761" s="11" t="s">
        <v>1093</v>
      </c>
    </row>
    <row r="762" customFormat="false" ht="17.15" hidden="false" customHeight="false" outlineLevel="0" collapsed="false">
      <c r="A762" s="7" t="s">
        <v>1097</v>
      </c>
      <c r="B762" s="8" t="s">
        <v>104</v>
      </c>
      <c r="C762" s="8" t="n">
        <v>57</v>
      </c>
      <c r="D762" s="8" t="s">
        <v>33</v>
      </c>
      <c r="E762" s="9" t="n">
        <v>45453</v>
      </c>
      <c r="F762" s="8" t="n">
        <f aca="true">IF(E762="","",ROUND((TODAY()-E762)/7,1))</f>
        <v>104.9</v>
      </c>
      <c r="G762" s="8" t="s">
        <v>52</v>
      </c>
      <c r="H762" s="8"/>
      <c r="I762" s="8" t="s">
        <v>192</v>
      </c>
      <c r="J762" s="8" t="s">
        <v>192</v>
      </c>
      <c r="K762" s="8" t="n">
        <v>1</v>
      </c>
      <c r="L762" s="10"/>
      <c r="M762" s="10"/>
      <c r="N762" s="10"/>
      <c r="O762" s="10"/>
      <c r="P762" s="8" t="str">
        <f aca="false">MID(IF(L762="","","; APP:"&amp;L762)&amp;IF(M762="","","; PS1:"&amp;M762)&amp;IF(N762="","","; AQP4:"&amp;N762)&amp;IF(O762="","","; CAG-EGFP:"&amp;O762),3,200)</f>
        <v/>
      </c>
      <c r="Q762" s="8" t="s">
        <v>82</v>
      </c>
      <c r="R762" s="8" t="s">
        <v>88</v>
      </c>
      <c r="S762" s="8"/>
      <c r="T762" s="11" t="s">
        <v>1093</v>
      </c>
    </row>
    <row r="763" customFormat="false" ht="17.15" hidden="false" customHeight="false" outlineLevel="0" collapsed="false">
      <c r="A763" s="7" t="s">
        <v>1098</v>
      </c>
      <c r="B763" s="8" t="s">
        <v>104</v>
      </c>
      <c r="C763" s="8" t="n">
        <v>58</v>
      </c>
      <c r="D763" s="8" t="s">
        <v>33</v>
      </c>
      <c r="E763" s="9" t="n">
        <v>45453</v>
      </c>
      <c r="F763" s="8" t="n">
        <f aca="true">IF(E763="","",ROUND((TODAY()-E763)/7,1))</f>
        <v>104.9</v>
      </c>
      <c r="G763" s="8" t="s">
        <v>52</v>
      </c>
      <c r="H763" s="8"/>
      <c r="I763" s="8" t="s">
        <v>192</v>
      </c>
      <c r="J763" s="8" t="s">
        <v>192</v>
      </c>
      <c r="K763" s="8" t="n">
        <v>1</v>
      </c>
      <c r="L763" s="10"/>
      <c r="M763" s="10"/>
      <c r="N763" s="10"/>
      <c r="O763" s="10"/>
      <c r="P763" s="8" t="str">
        <f aca="false">MID(IF(L763="","","; APP:"&amp;L763)&amp;IF(M763="","","; PS1:"&amp;M763)&amp;IF(N763="","","; AQP4:"&amp;N763)&amp;IF(O763="","","; CAG-EGFP:"&amp;O763),3,200)</f>
        <v/>
      </c>
      <c r="Q763" s="8" t="s">
        <v>82</v>
      </c>
      <c r="R763" s="8" t="s">
        <v>88</v>
      </c>
      <c r="S763" s="8"/>
      <c r="T763" s="11" t="s">
        <v>1093</v>
      </c>
    </row>
    <row r="764" customFormat="false" ht="17.15" hidden="false" customHeight="false" outlineLevel="0" collapsed="false">
      <c r="A764" s="7" t="s">
        <v>1099</v>
      </c>
      <c r="B764" s="8" t="s">
        <v>104</v>
      </c>
      <c r="C764" s="8" t="n">
        <v>59</v>
      </c>
      <c r="D764" s="8" t="s">
        <v>33</v>
      </c>
      <c r="E764" s="9" t="n">
        <v>45453</v>
      </c>
      <c r="F764" s="8" t="n">
        <f aca="true">IF(E764="","",ROUND((TODAY()-E764)/7,1))</f>
        <v>104.9</v>
      </c>
      <c r="G764" s="8" t="s">
        <v>52</v>
      </c>
      <c r="H764" s="8"/>
      <c r="I764" s="8" t="s">
        <v>192</v>
      </c>
      <c r="J764" s="8" t="s">
        <v>192</v>
      </c>
      <c r="K764" s="8" t="n">
        <v>1</v>
      </c>
      <c r="L764" s="10"/>
      <c r="M764" s="10"/>
      <c r="N764" s="10"/>
      <c r="O764" s="10"/>
      <c r="P764" s="8" t="str">
        <f aca="false">MID(IF(L764="","","; APP:"&amp;L764)&amp;IF(M764="","","; PS1:"&amp;M764)&amp;IF(N764="","","; AQP4:"&amp;N764)&amp;IF(O764="","","; CAG-EGFP:"&amp;O764),3,200)</f>
        <v/>
      </c>
      <c r="Q764" s="8" t="s">
        <v>82</v>
      </c>
      <c r="R764" s="8" t="s">
        <v>88</v>
      </c>
      <c r="S764" s="8"/>
      <c r="T764" s="11" t="s">
        <v>1093</v>
      </c>
    </row>
    <row r="765" customFormat="false" ht="17.15" hidden="false" customHeight="false" outlineLevel="0" collapsed="false">
      <c r="A765" s="7" t="s">
        <v>1100</v>
      </c>
      <c r="B765" s="8" t="s">
        <v>104</v>
      </c>
      <c r="C765" s="8" t="n">
        <v>60</v>
      </c>
      <c r="D765" s="8" t="s">
        <v>33</v>
      </c>
      <c r="E765" s="9" t="n">
        <v>45453</v>
      </c>
      <c r="F765" s="8" t="n">
        <f aca="true">IF(E765="","",ROUND((TODAY()-E765)/7,1))</f>
        <v>104.9</v>
      </c>
      <c r="G765" s="8" t="s">
        <v>52</v>
      </c>
      <c r="H765" s="8"/>
      <c r="I765" s="8" t="s">
        <v>192</v>
      </c>
      <c r="J765" s="8" t="s">
        <v>192</v>
      </c>
      <c r="K765" s="8" t="n">
        <v>1</v>
      </c>
      <c r="L765" s="10"/>
      <c r="M765" s="10"/>
      <c r="N765" s="10"/>
      <c r="O765" s="10"/>
      <c r="P765" s="8" t="str">
        <f aca="false">MID(IF(L765="","","; APP:"&amp;L765)&amp;IF(M765="","","; PS1:"&amp;M765)&amp;IF(N765="","","; AQP4:"&amp;N765)&amp;IF(O765="","","; CAG-EGFP:"&amp;O765),3,200)</f>
        <v/>
      </c>
      <c r="Q765" s="8" t="s">
        <v>82</v>
      </c>
      <c r="R765" s="8" t="s">
        <v>88</v>
      </c>
      <c r="S765" s="8"/>
      <c r="T765" s="11" t="s">
        <v>1093</v>
      </c>
    </row>
    <row r="766" customFormat="false" ht="17.15" hidden="false" customHeight="false" outlineLevel="0" collapsed="false">
      <c r="A766" s="7" t="s">
        <v>1101</v>
      </c>
      <c r="B766" s="8" t="s">
        <v>104</v>
      </c>
      <c r="C766" s="8" t="n">
        <v>61</v>
      </c>
      <c r="D766" s="8" t="s">
        <v>33</v>
      </c>
      <c r="E766" s="9" t="n">
        <v>45509</v>
      </c>
      <c r="F766" s="8" t="n">
        <f aca="true">IF(E766="","",ROUND((TODAY()-E766)/7,1))</f>
        <v>96.9</v>
      </c>
      <c r="G766" s="8" t="s">
        <v>52</v>
      </c>
      <c r="H766" s="8"/>
      <c r="I766" s="8" t="s">
        <v>192</v>
      </c>
      <c r="J766" s="8" t="s">
        <v>192</v>
      </c>
      <c r="K766" s="8" t="n">
        <v>1</v>
      </c>
      <c r="L766" s="10"/>
      <c r="M766" s="10"/>
      <c r="N766" s="10"/>
      <c r="O766" s="10"/>
      <c r="P766" s="8" t="str">
        <f aca="false">MID(IF(L766="","","; APP:"&amp;L766)&amp;IF(M766="","","; PS1:"&amp;M766)&amp;IF(N766="","","; AQP4:"&amp;N766)&amp;IF(O766="","","; CAG-EGFP:"&amp;O766),3,200)</f>
        <v/>
      </c>
      <c r="Q766" s="8" t="s">
        <v>82</v>
      </c>
      <c r="R766" s="8" t="s">
        <v>88</v>
      </c>
      <c r="S766" s="8"/>
      <c r="T766" s="11" t="s">
        <v>1102</v>
      </c>
    </row>
    <row r="767" customFormat="false" ht="17.15" hidden="false" customHeight="false" outlineLevel="0" collapsed="false">
      <c r="A767" s="7" t="s">
        <v>1103</v>
      </c>
      <c r="B767" s="8" t="s">
        <v>104</v>
      </c>
      <c r="C767" s="8" t="n">
        <v>62</v>
      </c>
      <c r="D767" s="8" t="s">
        <v>33</v>
      </c>
      <c r="E767" s="9" t="n">
        <v>45509</v>
      </c>
      <c r="F767" s="8" t="n">
        <f aca="true">IF(E767="","",ROUND((TODAY()-E767)/7,1))</f>
        <v>96.9</v>
      </c>
      <c r="G767" s="8" t="s">
        <v>52</v>
      </c>
      <c r="H767" s="8"/>
      <c r="I767" s="8" t="s">
        <v>192</v>
      </c>
      <c r="J767" s="8" t="s">
        <v>192</v>
      </c>
      <c r="K767" s="8" t="n">
        <v>1</v>
      </c>
      <c r="L767" s="10"/>
      <c r="M767" s="10"/>
      <c r="N767" s="10"/>
      <c r="O767" s="10"/>
      <c r="P767" s="8" t="str">
        <f aca="false">MID(IF(L767="","","; APP:"&amp;L767)&amp;IF(M767="","","; PS1:"&amp;M767)&amp;IF(N767="","","; AQP4:"&amp;N767)&amp;IF(O767="","","; CAG-EGFP:"&amp;O767),3,200)</f>
        <v/>
      </c>
      <c r="Q767" s="8" t="s">
        <v>82</v>
      </c>
      <c r="R767" s="8" t="s">
        <v>88</v>
      </c>
      <c r="S767" s="8"/>
      <c r="T767" s="11" t="s">
        <v>1102</v>
      </c>
    </row>
    <row r="768" customFormat="false" ht="17.15" hidden="false" customHeight="false" outlineLevel="0" collapsed="false">
      <c r="A768" s="7" t="s">
        <v>1104</v>
      </c>
      <c r="B768" s="8" t="s">
        <v>104</v>
      </c>
      <c r="C768" s="8" t="n">
        <v>63</v>
      </c>
      <c r="D768" s="8" t="s">
        <v>33</v>
      </c>
      <c r="E768" s="9" t="n">
        <v>45509</v>
      </c>
      <c r="F768" s="8" t="n">
        <f aca="true">IF(E768="","",ROUND((TODAY()-E768)/7,1))</f>
        <v>96.9</v>
      </c>
      <c r="G768" s="8" t="s">
        <v>52</v>
      </c>
      <c r="H768" s="8"/>
      <c r="I768" s="8" t="s">
        <v>192</v>
      </c>
      <c r="J768" s="8" t="s">
        <v>192</v>
      </c>
      <c r="K768" s="8" t="n">
        <v>1</v>
      </c>
      <c r="L768" s="10"/>
      <c r="M768" s="10"/>
      <c r="N768" s="10"/>
      <c r="O768" s="10"/>
      <c r="P768" s="8" t="str">
        <f aca="false">MID(IF(L768="","","; APP:"&amp;L768)&amp;IF(M768="","","; PS1:"&amp;M768)&amp;IF(N768="","","; AQP4:"&amp;N768)&amp;IF(O768="","","; CAG-EGFP:"&amp;O768),3,200)</f>
        <v/>
      </c>
      <c r="Q768" s="8" t="s">
        <v>82</v>
      </c>
      <c r="R768" s="8" t="s">
        <v>88</v>
      </c>
      <c r="S768" s="8"/>
      <c r="T768" s="11" t="s">
        <v>1102</v>
      </c>
    </row>
    <row r="769" customFormat="false" ht="17.15" hidden="false" customHeight="false" outlineLevel="0" collapsed="false">
      <c r="A769" s="7" t="s">
        <v>1105</v>
      </c>
      <c r="B769" s="8" t="s">
        <v>104</v>
      </c>
      <c r="C769" s="8" t="n">
        <v>64</v>
      </c>
      <c r="D769" s="8" t="s">
        <v>33</v>
      </c>
      <c r="E769" s="9" t="n">
        <v>45509</v>
      </c>
      <c r="F769" s="8" t="n">
        <f aca="true">IF(E769="","",ROUND((TODAY()-E769)/7,1))</f>
        <v>96.9</v>
      </c>
      <c r="G769" s="8" t="s">
        <v>52</v>
      </c>
      <c r="H769" s="8"/>
      <c r="I769" s="8" t="s">
        <v>192</v>
      </c>
      <c r="J769" s="8" t="s">
        <v>192</v>
      </c>
      <c r="K769" s="8" t="n">
        <v>1</v>
      </c>
      <c r="L769" s="10"/>
      <c r="M769" s="10"/>
      <c r="N769" s="10"/>
      <c r="O769" s="10"/>
      <c r="P769" s="8" t="str">
        <f aca="false">MID(IF(L769="","","; APP:"&amp;L769)&amp;IF(M769="","","; PS1:"&amp;M769)&amp;IF(N769="","","; AQP4:"&amp;N769)&amp;IF(O769="","","; CAG-EGFP:"&amp;O769),3,200)</f>
        <v/>
      </c>
      <c r="Q769" s="8" t="s">
        <v>82</v>
      </c>
      <c r="R769" s="8" t="s">
        <v>88</v>
      </c>
      <c r="S769" s="8"/>
      <c r="T769" s="11" t="s">
        <v>1102</v>
      </c>
    </row>
    <row r="770" customFormat="false" ht="17.15" hidden="false" customHeight="false" outlineLevel="0" collapsed="false">
      <c r="A770" s="7" t="s">
        <v>1106</v>
      </c>
      <c r="B770" s="8" t="s">
        <v>104</v>
      </c>
      <c r="C770" s="8" t="n">
        <v>65</v>
      </c>
      <c r="D770" s="8" t="s">
        <v>33</v>
      </c>
      <c r="E770" s="9" t="n">
        <v>45509</v>
      </c>
      <c r="F770" s="8" t="n">
        <f aca="true">IF(E770="","",ROUND((TODAY()-E770)/7,1))</f>
        <v>96.9</v>
      </c>
      <c r="G770" s="8" t="s">
        <v>52</v>
      </c>
      <c r="H770" s="8"/>
      <c r="I770" s="8" t="s">
        <v>192</v>
      </c>
      <c r="J770" s="8" t="s">
        <v>192</v>
      </c>
      <c r="K770" s="8" t="n">
        <v>1</v>
      </c>
      <c r="L770" s="10"/>
      <c r="M770" s="10"/>
      <c r="N770" s="10"/>
      <c r="O770" s="10"/>
      <c r="P770" s="8" t="str">
        <f aca="false">MID(IF(L770="","","; APP:"&amp;L770)&amp;IF(M770="","","; PS1:"&amp;M770)&amp;IF(N770="","","; AQP4:"&amp;N770)&amp;IF(O770="","","; CAG-EGFP:"&amp;O770),3,200)</f>
        <v/>
      </c>
      <c r="Q770" s="8" t="s">
        <v>82</v>
      </c>
      <c r="R770" s="8" t="s">
        <v>88</v>
      </c>
      <c r="S770" s="8"/>
      <c r="T770" s="11" t="s">
        <v>1102</v>
      </c>
    </row>
    <row r="771" customFormat="false" ht="17.15" hidden="false" customHeight="false" outlineLevel="0" collapsed="false">
      <c r="A771" s="7" t="s">
        <v>1107</v>
      </c>
      <c r="B771" s="8" t="s">
        <v>104</v>
      </c>
      <c r="C771" s="8" t="n">
        <v>66</v>
      </c>
      <c r="D771" s="8" t="s">
        <v>33</v>
      </c>
      <c r="E771" s="9" t="n">
        <v>45509</v>
      </c>
      <c r="F771" s="8" t="n">
        <f aca="true">IF(E771="","",ROUND((TODAY()-E771)/7,1))</f>
        <v>96.9</v>
      </c>
      <c r="G771" s="8" t="s">
        <v>52</v>
      </c>
      <c r="H771" s="8"/>
      <c r="I771" s="8" t="s">
        <v>192</v>
      </c>
      <c r="J771" s="8" t="s">
        <v>192</v>
      </c>
      <c r="K771" s="8" t="n">
        <v>1</v>
      </c>
      <c r="L771" s="10"/>
      <c r="M771" s="10"/>
      <c r="N771" s="10"/>
      <c r="O771" s="10"/>
      <c r="P771" s="8" t="str">
        <f aca="false">MID(IF(L771="","","; APP:"&amp;L771)&amp;IF(M771="","","; PS1:"&amp;M771)&amp;IF(N771="","","; AQP4:"&amp;N771)&amp;IF(O771="","","; CAG-EGFP:"&amp;O771),3,200)</f>
        <v/>
      </c>
      <c r="Q771" s="8" t="s">
        <v>82</v>
      </c>
      <c r="R771" s="8" t="s">
        <v>88</v>
      </c>
      <c r="S771" s="8"/>
      <c r="T771" s="11" t="s">
        <v>1102</v>
      </c>
    </row>
    <row r="772" customFormat="false" ht="17.15" hidden="false" customHeight="false" outlineLevel="0" collapsed="false">
      <c r="A772" s="7" t="s">
        <v>1108</v>
      </c>
      <c r="B772" s="8" t="s">
        <v>104</v>
      </c>
      <c r="C772" s="8" t="n">
        <v>67</v>
      </c>
      <c r="D772" s="8" t="s">
        <v>46</v>
      </c>
      <c r="E772" s="9" t="n">
        <v>45509</v>
      </c>
      <c r="F772" s="8" t="n">
        <f aca="true">IF(E772="","",ROUND((TODAY()-E772)/7,1))</f>
        <v>96.9</v>
      </c>
      <c r="G772" s="8" t="s">
        <v>52</v>
      </c>
      <c r="H772" s="8"/>
      <c r="I772" s="8" t="s">
        <v>192</v>
      </c>
      <c r="J772" s="8" t="s">
        <v>192</v>
      </c>
      <c r="K772" s="8" t="n">
        <v>1</v>
      </c>
      <c r="L772" s="10"/>
      <c r="M772" s="10"/>
      <c r="N772" s="10"/>
      <c r="O772" s="10"/>
      <c r="P772" s="8" t="str">
        <f aca="false">MID(IF(L772="","","; APP:"&amp;L772)&amp;IF(M772="","","; PS1:"&amp;M772)&amp;IF(N772="","","; AQP4:"&amp;N772)&amp;IF(O772="","","; CAG-EGFP:"&amp;O772),3,200)</f>
        <v/>
      </c>
      <c r="Q772" s="8" t="s">
        <v>82</v>
      </c>
      <c r="R772" s="8" t="s">
        <v>88</v>
      </c>
      <c r="S772" s="8"/>
      <c r="T772" s="11" t="s">
        <v>1102</v>
      </c>
    </row>
    <row r="773" customFormat="false" ht="17.15" hidden="false" customHeight="false" outlineLevel="0" collapsed="false">
      <c r="A773" s="7" t="s">
        <v>1109</v>
      </c>
      <c r="B773" s="8" t="s">
        <v>104</v>
      </c>
      <c r="C773" s="8" t="n">
        <v>68</v>
      </c>
      <c r="D773" s="8" t="s">
        <v>46</v>
      </c>
      <c r="E773" s="9" t="n">
        <v>45509</v>
      </c>
      <c r="F773" s="8" t="n">
        <f aca="true">IF(E773="","",ROUND((TODAY()-E773)/7,1))</f>
        <v>96.9</v>
      </c>
      <c r="G773" s="8" t="s">
        <v>52</v>
      </c>
      <c r="H773" s="8"/>
      <c r="I773" s="8" t="s">
        <v>192</v>
      </c>
      <c r="J773" s="8" t="s">
        <v>192</v>
      </c>
      <c r="K773" s="8" t="n">
        <v>1</v>
      </c>
      <c r="L773" s="10"/>
      <c r="M773" s="10"/>
      <c r="N773" s="10"/>
      <c r="O773" s="10"/>
      <c r="P773" s="8" t="str">
        <f aca="false">MID(IF(L773="","","; APP:"&amp;L773)&amp;IF(M773="","","; PS1:"&amp;M773)&amp;IF(N773="","","; AQP4:"&amp;N773)&amp;IF(O773="","","; CAG-EGFP:"&amp;O773),3,200)</f>
        <v/>
      </c>
      <c r="Q773" s="8" t="s">
        <v>82</v>
      </c>
      <c r="R773" s="8" t="s">
        <v>88</v>
      </c>
      <c r="S773" s="8"/>
      <c r="T773" s="11" t="s">
        <v>1102</v>
      </c>
    </row>
    <row r="774" customFormat="false" ht="17.15" hidden="false" customHeight="false" outlineLevel="0" collapsed="false">
      <c r="A774" s="7" t="s">
        <v>1110</v>
      </c>
      <c r="B774" s="8" t="s">
        <v>104</v>
      </c>
      <c r="C774" s="8" t="n">
        <v>69</v>
      </c>
      <c r="D774" s="8" t="s">
        <v>46</v>
      </c>
      <c r="E774" s="9" t="n">
        <v>45509</v>
      </c>
      <c r="F774" s="8" t="n">
        <f aca="true">IF(E774="","",ROUND((TODAY()-E774)/7,1))</f>
        <v>96.9</v>
      </c>
      <c r="G774" s="8" t="s">
        <v>52</v>
      </c>
      <c r="H774" s="8"/>
      <c r="I774" s="8" t="s">
        <v>192</v>
      </c>
      <c r="J774" s="8" t="s">
        <v>192</v>
      </c>
      <c r="K774" s="8" t="n">
        <v>1</v>
      </c>
      <c r="L774" s="10"/>
      <c r="M774" s="10"/>
      <c r="N774" s="10"/>
      <c r="O774" s="10"/>
      <c r="P774" s="8" t="str">
        <f aca="false">MID(IF(L774="","","; APP:"&amp;L774)&amp;IF(M774="","","; PS1:"&amp;M774)&amp;IF(N774="","","; AQP4:"&amp;N774)&amp;IF(O774="","","; CAG-EGFP:"&amp;O774),3,200)</f>
        <v/>
      </c>
      <c r="Q774" s="8" t="s">
        <v>82</v>
      </c>
      <c r="R774" s="8" t="s">
        <v>88</v>
      </c>
      <c r="S774" s="8"/>
      <c r="T774" s="11" t="s">
        <v>1102</v>
      </c>
    </row>
    <row r="775" customFormat="false" ht="17.15" hidden="false" customHeight="false" outlineLevel="0" collapsed="false">
      <c r="A775" s="7" t="s">
        <v>1111</v>
      </c>
      <c r="B775" s="8" t="s">
        <v>104</v>
      </c>
      <c r="C775" s="8" t="n">
        <v>70</v>
      </c>
      <c r="D775" s="8" t="s">
        <v>46</v>
      </c>
      <c r="E775" s="9" t="n">
        <v>45509</v>
      </c>
      <c r="F775" s="8" t="n">
        <f aca="true">IF(E775="","",ROUND((TODAY()-E775)/7,1))</f>
        <v>96.9</v>
      </c>
      <c r="G775" s="8" t="s">
        <v>52</v>
      </c>
      <c r="H775" s="8"/>
      <c r="I775" s="8" t="s">
        <v>192</v>
      </c>
      <c r="J775" s="8" t="s">
        <v>192</v>
      </c>
      <c r="K775" s="8" t="n">
        <v>1</v>
      </c>
      <c r="L775" s="10"/>
      <c r="M775" s="10"/>
      <c r="N775" s="10"/>
      <c r="O775" s="10"/>
      <c r="P775" s="8" t="str">
        <f aca="false">MID(IF(L775="","","; APP:"&amp;L775)&amp;IF(M775="","","; PS1:"&amp;M775)&amp;IF(N775="","","; AQP4:"&amp;N775)&amp;IF(O775="","","; CAG-EGFP:"&amp;O775),3,200)</f>
        <v/>
      </c>
      <c r="Q775" s="8" t="s">
        <v>82</v>
      </c>
      <c r="R775" s="8" t="s">
        <v>88</v>
      </c>
      <c r="S775" s="8"/>
      <c r="T775" s="11" t="s">
        <v>1102</v>
      </c>
    </row>
    <row r="776" customFormat="false" ht="17.15" hidden="false" customHeight="false" outlineLevel="0" collapsed="false">
      <c r="A776" s="7" t="s">
        <v>1112</v>
      </c>
      <c r="B776" s="8" t="s">
        <v>104</v>
      </c>
      <c r="C776" s="8" t="n">
        <v>71</v>
      </c>
      <c r="D776" s="8" t="s">
        <v>46</v>
      </c>
      <c r="E776" s="9" t="n">
        <v>45509</v>
      </c>
      <c r="F776" s="8" t="n">
        <f aca="true">IF(E776="","",ROUND((TODAY()-E776)/7,1))</f>
        <v>96.9</v>
      </c>
      <c r="G776" s="8" t="s">
        <v>52</v>
      </c>
      <c r="H776" s="8"/>
      <c r="I776" s="8" t="s">
        <v>192</v>
      </c>
      <c r="J776" s="8" t="s">
        <v>192</v>
      </c>
      <c r="K776" s="8" t="n">
        <v>1</v>
      </c>
      <c r="L776" s="10"/>
      <c r="M776" s="10"/>
      <c r="N776" s="10"/>
      <c r="O776" s="10"/>
      <c r="P776" s="8" t="str">
        <f aca="false">MID(IF(L776="","","; APP:"&amp;L776)&amp;IF(M776="","","; PS1:"&amp;M776)&amp;IF(N776="","","; AQP4:"&amp;N776)&amp;IF(O776="","","; CAG-EGFP:"&amp;O776),3,200)</f>
        <v/>
      </c>
      <c r="Q776" s="8" t="s">
        <v>82</v>
      </c>
      <c r="R776" s="8" t="s">
        <v>88</v>
      </c>
      <c r="S776" s="8"/>
      <c r="T776" s="11" t="s">
        <v>1102</v>
      </c>
    </row>
    <row r="777" customFormat="false" ht="17.15" hidden="false" customHeight="false" outlineLevel="0" collapsed="false">
      <c r="A777" s="7" t="s">
        <v>1113</v>
      </c>
      <c r="B777" s="8" t="s">
        <v>104</v>
      </c>
      <c r="C777" s="8" t="n">
        <v>72</v>
      </c>
      <c r="D777" s="8" t="s">
        <v>46</v>
      </c>
      <c r="E777" s="9" t="n">
        <v>45509</v>
      </c>
      <c r="F777" s="8" t="n">
        <f aca="true">IF(E777="","",ROUND((TODAY()-E777)/7,1))</f>
        <v>96.9</v>
      </c>
      <c r="G777" s="8" t="s">
        <v>52</v>
      </c>
      <c r="H777" s="8"/>
      <c r="I777" s="8" t="s">
        <v>192</v>
      </c>
      <c r="J777" s="8" t="s">
        <v>192</v>
      </c>
      <c r="K777" s="8" t="n">
        <v>1</v>
      </c>
      <c r="L777" s="10"/>
      <c r="M777" s="10"/>
      <c r="N777" s="10"/>
      <c r="O777" s="10"/>
      <c r="P777" s="8" t="str">
        <f aca="false">MID(IF(L777="","","; APP:"&amp;L777)&amp;IF(M777="","","; PS1:"&amp;M777)&amp;IF(N777="","","; AQP4:"&amp;N777)&amp;IF(O777="","","; CAG-EGFP:"&amp;O777),3,200)</f>
        <v/>
      </c>
      <c r="Q777" s="8" t="s">
        <v>82</v>
      </c>
      <c r="R777" s="8" t="s">
        <v>88</v>
      </c>
      <c r="S777" s="8"/>
      <c r="T777" s="11" t="s">
        <v>1102</v>
      </c>
    </row>
    <row r="778" customFormat="false" ht="17.15" hidden="false" customHeight="false" outlineLevel="0" collapsed="false">
      <c r="A778" s="7" t="s">
        <v>1114</v>
      </c>
      <c r="B778" s="8" t="s">
        <v>104</v>
      </c>
      <c r="C778" s="8" t="n">
        <v>73</v>
      </c>
      <c r="D778" s="8" t="s">
        <v>33</v>
      </c>
      <c r="E778" s="9" t="n">
        <v>45523</v>
      </c>
      <c r="F778" s="8" t="n">
        <f aca="true">IF(E778="","",ROUND((TODAY()-E778)/7,1))</f>
        <v>94.9</v>
      </c>
      <c r="G778" s="8" t="s">
        <v>52</v>
      </c>
      <c r="H778" s="8"/>
      <c r="I778" s="8" t="s">
        <v>192</v>
      </c>
      <c r="J778" s="8" t="s">
        <v>192</v>
      </c>
      <c r="K778" s="8" t="n">
        <v>2</v>
      </c>
      <c r="L778" s="10"/>
      <c r="M778" s="10"/>
      <c r="N778" s="10"/>
      <c r="O778" s="10"/>
      <c r="P778" s="8" t="str">
        <f aca="false">MID(IF(L778="","","; APP:"&amp;L778)&amp;IF(M778="","","; PS1:"&amp;M778)&amp;IF(N778="","","; AQP4:"&amp;N778)&amp;IF(O778="","","; CAG-EGFP:"&amp;O778),3,200)</f>
        <v/>
      </c>
      <c r="Q778" s="8" t="s">
        <v>82</v>
      </c>
      <c r="R778" s="8" t="s">
        <v>88</v>
      </c>
      <c r="S778" s="8"/>
      <c r="T778" s="11" t="s">
        <v>1115</v>
      </c>
    </row>
    <row r="779" customFormat="false" ht="17.15" hidden="false" customHeight="false" outlineLevel="0" collapsed="false">
      <c r="A779" s="7" t="s">
        <v>1116</v>
      </c>
      <c r="B779" s="8" t="s">
        <v>104</v>
      </c>
      <c r="C779" s="8" t="n">
        <v>74</v>
      </c>
      <c r="D779" s="8" t="s">
        <v>33</v>
      </c>
      <c r="E779" s="9" t="n">
        <v>45523</v>
      </c>
      <c r="F779" s="8" t="n">
        <f aca="true">IF(E779="","",ROUND((TODAY()-E779)/7,1))</f>
        <v>94.9</v>
      </c>
      <c r="G779" s="8" t="s">
        <v>52</v>
      </c>
      <c r="H779" s="8"/>
      <c r="I779" s="8" t="s">
        <v>192</v>
      </c>
      <c r="J779" s="8" t="s">
        <v>192</v>
      </c>
      <c r="K779" s="8" t="n">
        <v>2</v>
      </c>
      <c r="L779" s="10"/>
      <c r="M779" s="10"/>
      <c r="N779" s="10"/>
      <c r="O779" s="10"/>
      <c r="P779" s="8" t="str">
        <f aca="false">MID(IF(L779="","","; APP:"&amp;L779)&amp;IF(M779="","","; PS1:"&amp;M779)&amp;IF(N779="","","; AQP4:"&amp;N779)&amp;IF(O779="","","; CAG-EGFP:"&amp;O779),3,200)</f>
        <v/>
      </c>
      <c r="Q779" s="8" t="s">
        <v>82</v>
      </c>
      <c r="R779" s="8" t="s">
        <v>88</v>
      </c>
      <c r="S779" s="8"/>
      <c r="T779" s="11" t="s">
        <v>1115</v>
      </c>
    </row>
    <row r="780" customFormat="false" ht="17.15" hidden="false" customHeight="false" outlineLevel="0" collapsed="false">
      <c r="A780" s="7" t="s">
        <v>1117</v>
      </c>
      <c r="B780" s="8" t="s">
        <v>104</v>
      </c>
      <c r="C780" s="8" t="n">
        <v>75</v>
      </c>
      <c r="D780" s="8" t="s">
        <v>33</v>
      </c>
      <c r="E780" s="9" t="n">
        <v>45523</v>
      </c>
      <c r="F780" s="8" t="n">
        <f aca="true">IF(E780="","",ROUND((TODAY()-E780)/7,1))</f>
        <v>94.9</v>
      </c>
      <c r="G780" s="8" t="s">
        <v>52</v>
      </c>
      <c r="H780" s="8"/>
      <c r="I780" s="8" t="s">
        <v>192</v>
      </c>
      <c r="J780" s="8" t="s">
        <v>192</v>
      </c>
      <c r="K780" s="8" t="n">
        <v>2</v>
      </c>
      <c r="L780" s="10"/>
      <c r="M780" s="10"/>
      <c r="N780" s="10"/>
      <c r="O780" s="10"/>
      <c r="P780" s="8" t="str">
        <f aca="false">MID(IF(L780="","","; APP:"&amp;L780)&amp;IF(M780="","","; PS1:"&amp;M780)&amp;IF(N780="","","; AQP4:"&amp;N780)&amp;IF(O780="","","; CAG-EGFP:"&amp;O780),3,200)</f>
        <v/>
      </c>
      <c r="Q780" s="8" t="s">
        <v>82</v>
      </c>
      <c r="R780" s="8" t="s">
        <v>88</v>
      </c>
      <c r="S780" s="8"/>
      <c r="T780" s="11" t="s">
        <v>1115</v>
      </c>
    </row>
    <row r="781" customFormat="false" ht="17.15" hidden="false" customHeight="false" outlineLevel="0" collapsed="false">
      <c r="A781" s="7" t="s">
        <v>1118</v>
      </c>
      <c r="B781" s="8" t="s">
        <v>104</v>
      </c>
      <c r="C781" s="8" t="n">
        <v>76</v>
      </c>
      <c r="D781" s="8" t="s">
        <v>33</v>
      </c>
      <c r="E781" s="9" t="n">
        <v>45523</v>
      </c>
      <c r="F781" s="8" t="n">
        <f aca="true">IF(E781="","",ROUND((TODAY()-E781)/7,1))</f>
        <v>94.9</v>
      </c>
      <c r="G781" s="8" t="s">
        <v>52</v>
      </c>
      <c r="H781" s="8"/>
      <c r="I781" s="8" t="s">
        <v>192</v>
      </c>
      <c r="J781" s="8" t="s">
        <v>192</v>
      </c>
      <c r="K781" s="8" t="n">
        <v>2</v>
      </c>
      <c r="L781" s="10"/>
      <c r="M781" s="10"/>
      <c r="N781" s="10"/>
      <c r="O781" s="10"/>
      <c r="P781" s="8" t="str">
        <f aca="false">MID(IF(L781="","","; APP:"&amp;L781)&amp;IF(M781="","","; PS1:"&amp;M781)&amp;IF(N781="","","; AQP4:"&amp;N781)&amp;IF(O781="","","; CAG-EGFP:"&amp;O781),3,200)</f>
        <v/>
      </c>
      <c r="Q781" s="8" t="s">
        <v>82</v>
      </c>
      <c r="R781" s="8" t="s">
        <v>88</v>
      </c>
      <c r="S781" s="8"/>
      <c r="T781" s="11" t="s">
        <v>1115</v>
      </c>
    </row>
    <row r="782" customFormat="false" ht="17.15" hidden="false" customHeight="false" outlineLevel="0" collapsed="false">
      <c r="A782" s="7" t="s">
        <v>1119</v>
      </c>
      <c r="B782" s="8" t="s">
        <v>104</v>
      </c>
      <c r="C782" s="8" t="n">
        <v>77</v>
      </c>
      <c r="D782" s="8" t="s">
        <v>33</v>
      </c>
      <c r="E782" s="9" t="n">
        <v>45523</v>
      </c>
      <c r="F782" s="8" t="n">
        <f aca="true">IF(E782="","",ROUND((TODAY()-E782)/7,1))</f>
        <v>94.9</v>
      </c>
      <c r="G782" s="8" t="s">
        <v>52</v>
      </c>
      <c r="H782" s="8"/>
      <c r="I782" s="8" t="s">
        <v>192</v>
      </c>
      <c r="J782" s="8" t="s">
        <v>192</v>
      </c>
      <c r="K782" s="8" t="n">
        <v>2</v>
      </c>
      <c r="L782" s="10"/>
      <c r="M782" s="10"/>
      <c r="N782" s="10"/>
      <c r="O782" s="10"/>
      <c r="P782" s="8" t="str">
        <f aca="false">MID(IF(L782="","","; APP:"&amp;L782)&amp;IF(M782="","","; PS1:"&amp;M782)&amp;IF(N782="","","; AQP4:"&amp;N782)&amp;IF(O782="","","; CAG-EGFP:"&amp;O782),3,200)</f>
        <v/>
      </c>
      <c r="Q782" s="8" t="s">
        <v>82</v>
      </c>
      <c r="R782" s="8" t="s">
        <v>88</v>
      </c>
      <c r="S782" s="8"/>
      <c r="T782" s="11" t="s">
        <v>1115</v>
      </c>
    </row>
    <row r="783" customFormat="false" ht="17.15" hidden="false" customHeight="false" outlineLevel="0" collapsed="false">
      <c r="A783" s="7" t="s">
        <v>1120</v>
      </c>
      <c r="B783" s="8" t="s">
        <v>104</v>
      </c>
      <c r="C783" s="8" t="n">
        <v>78</v>
      </c>
      <c r="D783" s="8" t="s">
        <v>33</v>
      </c>
      <c r="E783" s="9" t="n">
        <v>45523</v>
      </c>
      <c r="F783" s="8" t="n">
        <f aca="true">IF(E783="","",ROUND((TODAY()-E783)/7,1))</f>
        <v>94.9</v>
      </c>
      <c r="G783" s="8" t="s">
        <v>52</v>
      </c>
      <c r="H783" s="8"/>
      <c r="I783" s="8" t="s">
        <v>192</v>
      </c>
      <c r="J783" s="8" t="s">
        <v>192</v>
      </c>
      <c r="K783" s="8" t="n">
        <v>2</v>
      </c>
      <c r="L783" s="10"/>
      <c r="M783" s="10"/>
      <c r="N783" s="10"/>
      <c r="O783" s="10"/>
      <c r="P783" s="8" t="str">
        <f aca="false">MID(IF(L783="","","; APP:"&amp;L783)&amp;IF(M783="","","; PS1:"&amp;M783)&amp;IF(N783="","","; AQP4:"&amp;N783)&amp;IF(O783="","","; CAG-EGFP:"&amp;O783),3,200)</f>
        <v/>
      </c>
      <c r="Q783" s="8" t="s">
        <v>82</v>
      </c>
      <c r="R783" s="8" t="s">
        <v>88</v>
      </c>
      <c r="S783" s="8"/>
      <c r="T783" s="11" t="s">
        <v>1115</v>
      </c>
    </row>
    <row r="784" customFormat="false" ht="17.15" hidden="false" customHeight="false" outlineLevel="0" collapsed="false">
      <c r="A784" s="7" t="s">
        <v>1121</v>
      </c>
      <c r="B784" s="8" t="s">
        <v>104</v>
      </c>
      <c r="C784" s="8" t="n">
        <v>79</v>
      </c>
      <c r="D784" s="8" t="s">
        <v>33</v>
      </c>
      <c r="E784" s="9" t="n">
        <v>45538</v>
      </c>
      <c r="F784" s="8" t="n">
        <f aca="true">IF(E784="","",ROUND((TODAY()-E784)/7,1))</f>
        <v>92.7</v>
      </c>
      <c r="G784" s="8" t="s">
        <v>52</v>
      </c>
      <c r="H784" s="8"/>
      <c r="I784" s="8" t="s">
        <v>192</v>
      </c>
      <c r="J784" s="8" t="s">
        <v>192</v>
      </c>
      <c r="K784" s="8" t="n">
        <v>2</v>
      </c>
      <c r="L784" s="10"/>
      <c r="M784" s="10"/>
      <c r="N784" s="10"/>
      <c r="O784" s="10"/>
      <c r="P784" s="8" t="str">
        <f aca="false">MID(IF(L784="","","; APP:"&amp;L784)&amp;IF(M784="","","; PS1:"&amp;M784)&amp;IF(N784="","","; AQP4:"&amp;N784)&amp;IF(O784="","","; CAG-EGFP:"&amp;O784),3,200)</f>
        <v/>
      </c>
      <c r="Q784" s="8" t="s">
        <v>82</v>
      </c>
      <c r="R784" s="8" t="s">
        <v>88</v>
      </c>
      <c r="S784" s="8"/>
      <c r="T784" s="11" t="s">
        <v>1122</v>
      </c>
    </row>
    <row r="785" customFormat="false" ht="17.15" hidden="false" customHeight="false" outlineLevel="0" collapsed="false">
      <c r="A785" s="7" t="s">
        <v>1123</v>
      </c>
      <c r="B785" s="8" t="s">
        <v>104</v>
      </c>
      <c r="C785" s="8" t="n">
        <v>80</v>
      </c>
      <c r="D785" s="8" t="s">
        <v>33</v>
      </c>
      <c r="E785" s="9" t="n">
        <v>45538</v>
      </c>
      <c r="F785" s="8" t="n">
        <f aca="true">IF(E785="","",ROUND((TODAY()-E785)/7,1))</f>
        <v>92.7</v>
      </c>
      <c r="G785" s="8" t="s">
        <v>52</v>
      </c>
      <c r="H785" s="8"/>
      <c r="I785" s="8" t="s">
        <v>192</v>
      </c>
      <c r="J785" s="8" t="s">
        <v>192</v>
      </c>
      <c r="K785" s="8" t="n">
        <v>2</v>
      </c>
      <c r="L785" s="10"/>
      <c r="M785" s="10"/>
      <c r="N785" s="10"/>
      <c r="O785" s="10"/>
      <c r="P785" s="8" t="str">
        <f aca="false">MID(IF(L785="","","; APP:"&amp;L785)&amp;IF(M785="","","; PS1:"&amp;M785)&amp;IF(N785="","","; AQP4:"&amp;N785)&amp;IF(O785="","","; CAG-EGFP:"&amp;O785),3,200)</f>
        <v/>
      </c>
      <c r="Q785" s="8" t="s">
        <v>82</v>
      </c>
      <c r="R785" s="8" t="s">
        <v>88</v>
      </c>
      <c r="S785" s="8"/>
      <c r="T785" s="11" t="s">
        <v>1122</v>
      </c>
    </row>
    <row r="786" customFormat="false" ht="17.15" hidden="false" customHeight="false" outlineLevel="0" collapsed="false">
      <c r="A786" s="7" t="s">
        <v>1124</v>
      </c>
      <c r="B786" s="8" t="s">
        <v>104</v>
      </c>
      <c r="C786" s="8" t="n">
        <v>81</v>
      </c>
      <c r="D786" s="8" t="s">
        <v>33</v>
      </c>
      <c r="E786" s="9" t="n">
        <v>45538</v>
      </c>
      <c r="F786" s="8" t="n">
        <f aca="true">IF(E786="","",ROUND((TODAY()-E786)/7,1))</f>
        <v>92.7</v>
      </c>
      <c r="G786" s="8" t="s">
        <v>52</v>
      </c>
      <c r="H786" s="8"/>
      <c r="I786" s="8" t="s">
        <v>192</v>
      </c>
      <c r="J786" s="8" t="s">
        <v>192</v>
      </c>
      <c r="K786" s="8" t="n">
        <v>2</v>
      </c>
      <c r="L786" s="10"/>
      <c r="M786" s="10"/>
      <c r="N786" s="10"/>
      <c r="O786" s="10"/>
      <c r="P786" s="8" t="str">
        <f aca="false">MID(IF(L786="","","; APP:"&amp;L786)&amp;IF(M786="","","; PS1:"&amp;M786)&amp;IF(N786="","","; AQP4:"&amp;N786)&amp;IF(O786="","","; CAG-EGFP:"&amp;O786),3,200)</f>
        <v/>
      </c>
      <c r="Q786" s="8" t="s">
        <v>82</v>
      </c>
      <c r="R786" s="8" t="s">
        <v>88</v>
      </c>
      <c r="S786" s="8"/>
      <c r="T786" s="11" t="s">
        <v>1122</v>
      </c>
    </row>
    <row r="787" customFormat="false" ht="17.15" hidden="false" customHeight="false" outlineLevel="0" collapsed="false">
      <c r="A787" s="7" t="s">
        <v>1125</v>
      </c>
      <c r="B787" s="8" t="s">
        <v>104</v>
      </c>
      <c r="C787" s="8" t="n">
        <v>82</v>
      </c>
      <c r="D787" s="8" t="s">
        <v>33</v>
      </c>
      <c r="E787" s="9" t="n">
        <v>45538</v>
      </c>
      <c r="F787" s="8" t="n">
        <f aca="true">IF(E787="","",ROUND((TODAY()-E787)/7,1))</f>
        <v>92.7</v>
      </c>
      <c r="G787" s="8" t="s">
        <v>52</v>
      </c>
      <c r="H787" s="8"/>
      <c r="I787" s="8" t="s">
        <v>192</v>
      </c>
      <c r="J787" s="8" t="s">
        <v>192</v>
      </c>
      <c r="K787" s="8" t="n">
        <v>2</v>
      </c>
      <c r="L787" s="10"/>
      <c r="M787" s="10"/>
      <c r="N787" s="10"/>
      <c r="O787" s="10"/>
      <c r="P787" s="8" t="str">
        <f aca="false">MID(IF(L787="","","; APP:"&amp;L787)&amp;IF(M787="","","; PS1:"&amp;M787)&amp;IF(N787="","","; AQP4:"&amp;N787)&amp;IF(O787="","","; CAG-EGFP:"&amp;O787),3,200)</f>
        <v/>
      </c>
      <c r="Q787" s="8" t="s">
        <v>82</v>
      </c>
      <c r="R787" s="8" t="s">
        <v>88</v>
      </c>
      <c r="S787" s="8"/>
      <c r="T787" s="11" t="s">
        <v>1122</v>
      </c>
    </row>
    <row r="788" customFormat="false" ht="17.15" hidden="false" customHeight="false" outlineLevel="0" collapsed="false">
      <c r="A788" s="7" t="s">
        <v>1126</v>
      </c>
      <c r="B788" s="8" t="s">
        <v>104</v>
      </c>
      <c r="C788" s="8" t="n">
        <v>83</v>
      </c>
      <c r="D788" s="8" t="s">
        <v>33</v>
      </c>
      <c r="E788" s="9" t="n">
        <v>45538</v>
      </c>
      <c r="F788" s="8" t="n">
        <f aca="true">IF(E788="","",ROUND((TODAY()-E788)/7,1))</f>
        <v>92.7</v>
      </c>
      <c r="G788" s="8" t="s">
        <v>52</v>
      </c>
      <c r="H788" s="8"/>
      <c r="I788" s="8" t="s">
        <v>192</v>
      </c>
      <c r="J788" s="8" t="s">
        <v>192</v>
      </c>
      <c r="K788" s="8" t="n">
        <v>2</v>
      </c>
      <c r="L788" s="10"/>
      <c r="M788" s="10"/>
      <c r="N788" s="10"/>
      <c r="O788" s="10"/>
      <c r="P788" s="8" t="str">
        <f aca="false">MID(IF(L788="","","; APP:"&amp;L788)&amp;IF(M788="","","; PS1:"&amp;M788)&amp;IF(N788="","","; AQP4:"&amp;N788)&amp;IF(O788="","","; CAG-EGFP:"&amp;O788),3,200)</f>
        <v/>
      </c>
      <c r="Q788" s="8" t="s">
        <v>82</v>
      </c>
      <c r="R788" s="8" t="s">
        <v>88</v>
      </c>
      <c r="S788" s="8"/>
      <c r="T788" s="11" t="s">
        <v>1122</v>
      </c>
    </row>
    <row r="789" customFormat="false" ht="17.15" hidden="false" customHeight="false" outlineLevel="0" collapsed="false">
      <c r="A789" s="7" t="s">
        <v>1127</v>
      </c>
      <c r="B789" s="8" t="s">
        <v>104</v>
      </c>
      <c r="C789" s="8" t="n">
        <v>84</v>
      </c>
      <c r="D789" s="8" t="s">
        <v>33</v>
      </c>
      <c r="E789" s="9" t="n">
        <v>45538</v>
      </c>
      <c r="F789" s="8" t="n">
        <f aca="true">IF(E789="","",ROUND((TODAY()-E789)/7,1))</f>
        <v>92.7</v>
      </c>
      <c r="G789" s="8" t="s">
        <v>52</v>
      </c>
      <c r="H789" s="8"/>
      <c r="I789" s="8" t="s">
        <v>192</v>
      </c>
      <c r="J789" s="8" t="s">
        <v>192</v>
      </c>
      <c r="K789" s="8" t="n">
        <v>2</v>
      </c>
      <c r="L789" s="10"/>
      <c r="M789" s="10"/>
      <c r="N789" s="10"/>
      <c r="O789" s="10"/>
      <c r="P789" s="8" t="str">
        <f aca="false">MID(IF(L789="","","; APP:"&amp;L789)&amp;IF(M789="","","; PS1:"&amp;M789)&amp;IF(N789="","","; AQP4:"&amp;N789)&amp;IF(O789="","","; CAG-EGFP:"&amp;O789),3,200)</f>
        <v/>
      </c>
      <c r="Q789" s="8" t="s">
        <v>82</v>
      </c>
      <c r="R789" s="8" t="s">
        <v>88</v>
      </c>
      <c r="S789" s="8"/>
      <c r="T789" s="11" t="s">
        <v>1122</v>
      </c>
    </row>
    <row r="790" customFormat="false" ht="15" hidden="false" customHeight="false" outlineLevel="0" collapsed="false">
      <c r="A790" s="7" t="s">
        <v>1128</v>
      </c>
      <c r="B790" s="8" t="s">
        <v>104</v>
      </c>
      <c r="C790" s="8" t="n">
        <v>85</v>
      </c>
      <c r="D790" s="8" t="s">
        <v>46</v>
      </c>
      <c r="E790" s="9" t="n">
        <v>45528</v>
      </c>
      <c r="F790" s="8" t="n">
        <f aca="true">IF(E790="","",ROUND((TODAY()-E790)/7,1))</f>
        <v>94.1</v>
      </c>
      <c r="G790" s="8" t="s">
        <v>38</v>
      </c>
      <c r="H790" s="8"/>
      <c r="I790" s="8" t="s">
        <v>192</v>
      </c>
      <c r="J790" s="8" t="s">
        <v>192</v>
      </c>
      <c r="K790" s="8" t="n">
        <v>2</v>
      </c>
      <c r="L790" s="10"/>
      <c r="M790" s="10"/>
      <c r="N790" s="10"/>
      <c r="O790" s="10"/>
      <c r="P790" s="8" t="str">
        <f aca="false">MID(IF(L790="","","; APP:"&amp;L790)&amp;IF(M790="","","; PS1:"&amp;M790)&amp;IF(N790="","","; AQP4:"&amp;N790)&amp;IF(O790="","","; CAG-EGFP:"&amp;O790),3,200)</f>
        <v/>
      </c>
      <c r="Q790" s="8" t="s">
        <v>82</v>
      </c>
      <c r="R790" s="8" t="s">
        <v>88</v>
      </c>
      <c r="S790" s="8"/>
      <c r="T790" s="8" t="s">
        <v>1129</v>
      </c>
    </row>
    <row r="791" customFormat="false" ht="15" hidden="false" customHeight="false" outlineLevel="0" collapsed="false">
      <c r="A791" s="7" t="s">
        <v>1130</v>
      </c>
      <c r="B791" s="8" t="s">
        <v>104</v>
      </c>
      <c r="C791" s="8" t="n">
        <v>86</v>
      </c>
      <c r="D791" s="8" t="s">
        <v>46</v>
      </c>
      <c r="E791" s="9" t="n">
        <v>45528</v>
      </c>
      <c r="F791" s="8" t="n">
        <f aca="true">IF(E791="","",ROUND((TODAY()-E791)/7,1))</f>
        <v>94.1</v>
      </c>
      <c r="G791" s="8" t="s">
        <v>38</v>
      </c>
      <c r="H791" s="8"/>
      <c r="I791" s="8" t="s">
        <v>192</v>
      </c>
      <c r="J791" s="8" t="s">
        <v>192</v>
      </c>
      <c r="K791" s="8" t="n">
        <v>2</v>
      </c>
      <c r="L791" s="10"/>
      <c r="M791" s="10"/>
      <c r="N791" s="10"/>
      <c r="O791" s="10"/>
      <c r="P791" s="8" t="str">
        <f aca="false">MID(IF(L791="","","; APP:"&amp;L791)&amp;IF(M791="","","; PS1:"&amp;M791)&amp;IF(N791="","","; AQP4:"&amp;N791)&amp;IF(O791="","","; CAG-EGFP:"&amp;O791),3,200)</f>
        <v/>
      </c>
      <c r="Q791" s="8" t="s">
        <v>82</v>
      </c>
      <c r="R791" s="8" t="s">
        <v>88</v>
      </c>
      <c r="S791" s="8"/>
      <c r="T791" s="8" t="s">
        <v>1129</v>
      </c>
    </row>
    <row r="792" customFormat="false" ht="17.15" hidden="false" customHeight="false" outlineLevel="0" collapsed="false">
      <c r="A792" s="7" t="s">
        <v>1131</v>
      </c>
      <c r="B792" s="8" t="s">
        <v>104</v>
      </c>
      <c r="C792" s="8" t="n">
        <v>87</v>
      </c>
      <c r="D792" s="8" t="s">
        <v>33</v>
      </c>
      <c r="E792" s="9" t="n">
        <v>45558</v>
      </c>
      <c r="F792" s="8" t="n">
        <f aca="true">IF(E792="","",ROUND((TODAY()-E792)/7,1))</f>
        <v>89.9</v>
      </c>
      <c r="G792" s="8" t="s">
        <v>52</v>
      </c>
      <c r="H792" s="8"/>
      <c r="I792" s="8" t="s">
        <v>192</v>
      </c>
      <c r="J792" s="8" t="s">
        <v>192</v>
      </c>
      <c r="K792" s="8" t="n">
        <v>2</v>
      </c>
      <c r="L792" s="10"/>
      <c r="M792" s="10"/>
      <c r="N792" s="10"/>
      <c r="O792" s="10"/>
      <c r="P792" s="8" t="str">
        <f aca="false">MID(IF(L792="","","; APP:"&amp;L792)&amp;IF(M792="","","; PS1:"&amp;M792)&amp;IF(N792="","","; AQP4:"&amp;N792)&amp;IF(O792="","","; CAG-EGFP:"&amp;O792),3,200)</f>
        <v/>
      </c>
      <c r="Q792" s="8" t="s">
        <v>82</v>
      </c>
      <c r="R792" s="8" t="s">
        <v>88</v>
      </c>
      <c r="S792" s="8"/>
      <c r="T792" s="11" t="s">
        <v>1132</v>
      </c>
    </row>
    <row r="793" customFormat="false" ht="17.15" hidden="false" customHeight="false" outlineLevel="0" collapsed="false">
      <c r="A793" s="7" t="s">
        <v>1133</v>
      </c>
      <c r="B793" s="8" t="s">
        <v>104</v>
      </c>
      <c r="C793" s="8" t="n">
        <v>88</v>
      </c>
      <c r="D793" s="8" t="s">
        <v>33</v>
      </c>
      <c r="E793" s="9" t="n">
        <v>45558</v>
      </c>
      <c r="F793" s="8" t="n">
        <f aca="true">IF(E793="","",ROUND((TODAY()-E793)/7,1))</f>
        <v>89.9</v>
      </c>
      <c r="G793" s="8" t="s">
        <v>52</v>
      </c>
      <c r="H793" s="8"/>
      <c r="I793" s="8" t="s">
        <v>192</v>
      </c>
      <c r="J793" s="8" t="s">
        <v>192</v>
      </c>
      <c r="K793" s="8" t="n">
        <v>2</v>
      </c>
      <c r="L793" s="10"/>
      <c r="M793" s="10"/>
      <c r="N793" s="10"/>
      <c r="O793" s="10"/>
      <c r="P793" s="8" t="str">
        <f aca="false">MID(IF(L793="","","; APP:"&amp;L793)&amp;IF(M793="","","; PS1:"&amp;M793)&amp;IF(N793="","","; AQP4:"&amp;N793)&amp;IF(O793="","","; CAG-EGFP:"&amp;O793),3,200)</f>
        <v/>
      </c>
      <c r="Q793" s="8" t="s">
        <v>82</v>
      </c>
      <c r="R793" s="8" t="s">
        <v>88</v>
      </c>
      <c r="S793" s="8"/>
      <c r="T793" s="11" t="s">
        <v>1132</v>
      </c>
    </row>
    <row r="794" customFormat="false" ht="17.15" hidden="false" customHeight="false" outlineLevel="0" collapsed="false">
      <c r="A794" s="7" t="s">
        <v>1134</v>
      </c>
      <c r="B794" s="8" t="s">
        <v>104</v>
      </c>
      <c r="C794" s="8" t="n">
        <v>89</v>
      </c>
      <c r="D794" s="8" t="s">
        <v>33</v>
      </c>
      <c r="E794" s="9" t="n">
        <v>45558</v>
      </c>
      <c r="F794" s="8" t="n">
        <f aca="true">IF(E794="","",ROUND((TODAY()-E794)/7,1))</f>
        <v>89.9</v>
      </c>
      <c r="G794" s="8" t="s">
        <v>52</v>
      </c>
      <c r="H794" s="8"/>
      <c r="I794" s="8" t="s">
        <v>192</v>
      </c>
      <c r="J794" s="8" t="s">
        <v>192</v>
      </c>
      <c r="K794" s="8" t="n">
        <v>2</v>
      </c>
      <c r="L794" s="10"/>
      <c r="M794" s="10"/>
      <c r="N794" s="10"/>
      <c r="O794" s="10"/>
      <c r="P794" s="8" t="str">
        <f aca="false">MID(IF(L794="","","; APP:"&amp;L794)&amp;IF(M794="","","; PS1:"&amp;M794)&amp;IF(N794="","","; AQP4:"&amp;N794)&amp;IF(O794="","","; CAG-EGFP:"&amp;O794),3,200)</f>
        <v/>
      </c>
      <c r="Q794" s="8" t="s">
        <v>82</v>
      </c>
      <c r="R794" s="8" t="s">
        <v>88</v>
      </c>
      <c r="S794" s="8"/>
      <c r="T794" s="11" t="s">
        <v>1132</v>
      </c>
    </row>
    <row r="795" customFormat="false" ht="17.15" hidden="false" customHeight="false" outlineLevel="0" collapsed="false">
      <c r="A795" s="7" t="s">
        <v>1135</v>
      </c>
      <c r="B795" s="8" t="s">
        <v>104</v>
      </c>
      <c r="C795" s="8" t="n">
        <v>90</v>
      </c>
      <c r="D795" s="8" t="s">
        <v>33</v>
      </c>
      <c r="E795" s="9" t="n">
        <v>45558</v>
      </c>
      <c r="F795" s="8" t="n">
        <f aca="true">IF(E795="","",ROUND((TODAY()-E795)/7,1))</f>
        <v>89.9</v>
      </c>
      <c r="G795" s="8" t="s">
        <v>52</v>
      </c>
      <c r="H795" s="8"/>
      <c r="I795" s="8" t="s">
        <v>192</v>
      </c>
      <c r="J795" s="8" t="s">
        <v>192</v>
      </c>
      <c r="K795" s="8" t="n">
        <v>2</v>
      </c>
      <c r="L795" s="10"/>
      <c r="M795" s="10"/>
      <c r="N795" s="10"/>
      <c r="O795" s="10"/>
      <c r="P795" s="8" t="str">
        <f aca="false">MID(IF(L795="","","; APP:"&amp;L795)&amp;IF(M795="","","; PS1:"&amp;M795)&amp;IF(N795="","","; AQP4:"&amp;N795)&amp;IF(O795="","","; CAG-EGFP:"&amp;O795),3,200)</f>
        <v/>
      </c>
      <c r="Q795" s="8" t="s">
        <v>82</v>
      </c>
      <c r="R795" s="8" t="s">
        <v>88</v>
      </c>
      <c r="S795" s="8"/>
      <c r="T795" s="11" t="s">
        <v>1132</v>
      </c>
    </row>
    <row r="796" customFormat="false" ht="17.15" hidden="false" customHeight="false" outlineLevel="0" collapsed="false">
      <c r="A796" s="7" t="s">
        <v>1136</v>
      </c>
      <c r="B796" s="8" t="s">
        <v>104</v>
      </c>
      <c r="C796" s="8" t="n">
        <v>91</v>
      </c>
      <c r="D796" s="8" t="s">
        <v>33</v>
      </c>
      <c r="E796" s="9" t="n">
        <v>45558</v>
      </c>
      <c r="F796" s="8" t="n">
        <f aca="true">IF(E796="","",ROUND((TODAY()-E796)/7,1))</f>
        <v>89.9</v>
      </c>
      <c r="G796" s="8" t="s">
        <v>52</v>
      </c>
      <c r="H796" s="8"/>
      <c r="I796" s="8" t="s">
        <v>192</v>
      </c>
      <c r="J796" s="8" t="s">
        <v>192</v>
      </c>
      <c r="K796" s="8" t="n">
        <v>2</v>
      </c>
      <c r="L796" s="10"/>
      <c r="M796" s="10"/>
      <c r="N796" s="10"/>
      <c r="O796" s="10"/>
      <c r="P796" s="8" t="str">
        <f aca="false">MID(IF(L796="","","; APP:"&amp;L796)&amp;IF(M796="","","; PS1:"&amp;M796)&amp;IF(N796="","","; AQP4:"&amp;N796)&amp;IF(O796="","","; CAG-EGFP:"&amp;O796),3,200)</f>
        <v/>
      </c>
      <c r="Q796" s="8" t="s">
        <v>82</v>
      </c>
      <c r="R796" s="8" t="s">
        <v>88</v>
      </c>
      <c r="S796" s="8"/>
      <c r="T796" s="11" t="s">
        <v>1132</v>
      </c>
    </row>
    <row r="797" customFormat="false" ht="17.15" hidden="false" customHeight="false" outlineLevel="0" collapsed="false">
      <c r="A797" s="7" t="s">
        <v>1137</v>
      </c>
      <c r="B797" s="8" t="s">
        <v>104</v>
      </c>
      <c r="C797" s="8" t="n">
        <v>92</v>
      </c>
      <c r="D797" s="8" t="s">
        <v>33</v>
      </c>
      <c r="E797" s="9" t="n">
        <v>45558</v>
      </c>
      <c r="F797" s="8" t="n">
        <f aca="true">IF(E797="","",ROUND((TODAY()-E797)/7,1))</f>
        <v>89.9</v>
      </c>
      <c r="G797" s="8" t="s">
        <v>52</v>
      </c>
      <c r="H797" s="8"/>
      <c r="I797" s="8" t="s">
        <v>192</v>
      </c>
      <c r="J797" s="8" t="s">
        <v>192</v>
      </c>
      <c r="K797" s="8" t="n">
        <v>2</v>
      </c>
      <c r="L797" s="10"/>
      <c r="M797" s="10"/>
      <c r="N797" s="10"/>
      <c r="O797" s="10"/>
      <c r="P797" s="8" t="str">
        <f aca="false">MID(IF(L797="","","; APP:"&amp;L797)&amp;IF(M797="","","; PS1:"&amp;M797)&amp;IF(N797="","","; AQP4:"&amp;N797)&amp;IF(O797="","","; CAG-EGFP:"&amp;O797),3,200)</f>
        <v/>
      </c>
      <c r="Q797" s="8" t="s">
        <v>82</v>
      </c>
      <c r="R797" s="8" t="s">
        <v>88</v>
      </c>
      <c r="S797" s="8"/>
      <c r="T797" s="11" t="s">
        <v>1132</v>
      </c>
    </row>
    <row r="798" customFormat="false" ht="17.15" hidden="false" customHeight="false" outlineLevel="0" collapsed="false">
      <c r="A798" s="7" t="s">
        <v>1138</v>
      </c>
      <c r="B798" s="8" t="s">
        <v>104</v>
      </c>
      <c r="C798" s="8" t="n">
        <v>93</v>
      </c>
      <c r="D798" s="8" t="s">
        <v>46</v>
      </c>
      <c r="E798" s="9" t="n">
        <v>45558</v>
      </c>
      <c r="F798" s="8" t="n">
        <f aca="true">IF(E798="","",ROUND((TODAY()-E798)/7,1))</f>
        <v>89.9</v>
      </c>
      <c r="G798" s="8" t="s">
        <v>52</v>
      </c>
      <c r="H798" s="8"/>
      <c r="I798" s="8" t="s">
        <v>192</v>
      </c>
      <c r="J798" s="8" t="s">
        <v>192</v>
      </c>
      <c r="K798" s="8" t="n">
        <v>2</v>
      </c>
      <c r="L798" s="10"/>
      <c r="M798" s="10"/>
      <c r="N798" s="10"/>
      <c r="O798" s="10"/>
      <c r="P798" s="8" t="str">
        <f aca="false">MID(IF(L798="","","; APP:"&amp;L798)&amp;IF(M798="","","; PS1:"&amp;M798)&amp;IF(N798="","","; AQP4:"&amp;N798)&amp;IF(O798="","","; CAG-EGFP:"&amp;O798),3,200)</f>
        <v/>
      </c>
      <c r="Q798" s="8" t="s">
        <v>82</v>
      </c>
      <c r="R798" s="8" t="s">
        <v>88</v>
      </c>
      <c r="S798" s="8"/>
      <c r="T798" s="11" t="s">
        <v>1132</v>
      </c>
    </row>
    <row r="799" customFormat="false" ht="17.15" hidden="false" customHeight="false" outlineLevel="0" collapsed="false">
      <c r="A799" s="7" t="s">
        <v>1139</v>
      </c>
      <c r="B799" s="8" t="s">
        <v>104</v>
      </c>
      <c r="C799" s="8" t="n">
        <v>94</v>
      </c>
      <c r="D799" s="8" t="s">
        <v>46</v>
      </c>
      <c r="E799" s="9" t="n">
        <v>45558</v>
      </c>
      <c r="F799" s="8" t="n">
        <f aca="true">IF(E799="","",ROUND((TODAY()-E799)/7,1))</f>
        <v>89.9</v>
      </c>
      <c r="G799" s="8" t="s">
        <v>52</v>
      </c>
      <c r="H799" s="8"/>
      <c r="I799" s="8" t="s">
        <v>192</v>
      </c>
      <c r="J799" s="8" t="s">
        <v>192</v>
      </c>
      <c r="K799" s="8" t="n">
        <v>2</v>
      </c>
      <c r="L799" s="10"/>
      <c r="M799" s="10"/>
      <c r="N799" s="10"/>
      <c r="O799" s="10"/>
      <c r="P799" s="8" t="str">
        <f aca="false">MID(IF(L799="","","; APP:"&amp;L799)&amp;IF(M799="","","; PS1:"&amp;M799)&amp;IF(N799="","","; AQP4:"&amp;N799)&amp;IF(O799="","","; CAG-EGFP:"&amp;O799),3,200)</f>
        <v/>
      </c>
      <c r="Q799" s="8" t="s">
        <v>82</v>
      </c>
      <c r="R799" s="8" t="s">
        <v>88</v>
      </c>
      <c r="S799" s="8"/>
      <c r="T799" s="11" t="s">
        <v>1132</v>
      </c>
    </row>
    <row r="800" customFormat="false" ht="17.15" hidden="false" customHeight="false" outlineLevel="0" collapsed="false">
      <c r="A800" s="7" t="s">
        <v>1140</v>
      </c>
      <c r="B800" s="8" t="s">
        <v>104</v>
      </c>
      <c r="C800" s="8" t="n">
        <v>95</v>
      </c>
      <c r="D800" s="8" t="s">
        <v>46</v>
      </c>
      <c r="E800" s="9" t="n">
        <v>45558</v>
      </c>
      <c r="F800" s="8" t="n">
        <f aca="true">IF(E800="","",ROUND((TODAY()-E800)/7,1))</f>
        <v>89.9</v>
      </c>
      <c r="G800" s="8" t="s">
        <v>52</v>
      </c>
      <c r="H800" s="8"/>
      <c r="I800" s="8" t="s">
        <v>192</v>
      </c>
      <c r="J800" s="8" t="s">
        <v>192</v>
      </c>
      <c r="K800" s="8" t="n">
        <v>2</v>
      </c>
      <c r="L800" s="10"/>
      <c r="M800" s="10"/>
      <c r="N800" s="10"/>
      <c r="O800" s="10"/>
      <c r="P800" s="8" t="str">
        <f aca="false">MID(IF(L800="","","; APP:"&amp;L800)&amp;IF(M800="","","; PS1:"&amp;M800)&amp;IF(N800="","","; AQP4:"&amp;N800)&amp;IF(O800="","","; CAG-EGFP:"&amp;O800),3,200)</f>
        <v/>
      </c>
      <c r="Q800" s="8" t="s">
        <v>82</v>
      </c>
      <c r="R800" s="8" t="s">
        <v>88</v>
      </c>
      <c r="S800" s="8"/>
      <c r="T800" s="11" t="s">
        <v>1132</v>
      </c>
    </row>
    <row r="801" customFormat="false" ht="17.15" hidden="false" customHeight="false" outlineLevel="0" collapsed="false">
      <c r="A801" s="7" t="s">
        <v>1141</v>
      </c>
      <c r="B801" s="8" t="s">
        <v>104</v>
      </c>
      <c r="C801" s="8" t="n">
        <v>96</v>
      </c>
      <c r="D801" s="8" t="s">
        <v>46</v>
      </c>
      <c r="E801" s="9" t="n">
        <v>45558</v>
      </c>
      <c r="F801" s="8" t="n">
        <f aca="true">IF(E801="","",ROUND((TODAY()-E801)/7,1))</f>
        <v>89.9</v>
      </c>
      <c r="G801" s="8" t="s">
        <v>52</v>
      </c>
      <c r="H801" s="8"/>
      <c r="I801" s="8" t="s">
        <v>192</v>
      </c>
      <c r="J801" s="8" t="s">
        <v>192</v>
      </c>
      <c r="K801" s="8" t="n">
        <v>2</v>
      </c>
      <c r="L801" s="10"/>
      <c r="M801" s="10"/>
      <c r="N801" s="10"/>
      <c r="O801" s="10"/>
      <c r="P801" s="8" t="str">
        <f aca="false">MID(IF(L801="","","; APP:"&amp;L801)&amp;IF(M801="","","; PS1:"&amp;M801)&amp;IF(N801="","","; AQP4:"&amp;N801)&amp;IF(O801="","","; CAG-EGFP:"&amp;O801),3,200)</f>
        <v/>
      </c>
      <c r="Q801" s="8" t="s">
        <v>82</v>
      </c>
      <c r="R801" s="8" t="s">
        <v>88</v>
      </c>
      <c r="S801" s="8"/>
      <c r="T801" s="11" t="s">
        <v>1132</v>
      </c>
    </row>
    <row r="802" customFormat="false" ht="17.15" hidden="false" customHeight="false" outlineLevel="0" collapsed="false">
      <c r="A802" s="7" t="s">
        <v>1142</v>
      </c>
      <c r="B802" s="8" t="s">
        <v>104</v>
      </c>
      <c r="C802" s="8" t="n">
        <v>97</v>
      </c>
      <c r="D802" s="8" t="s">
        <v>46</v>
      </c>
      <c r="E802" s="9" t="n">
        <v>45558</v>
      </c>
      <c r="F802" s="8" t="n">
        <f aca="true">IF(E802="","",ROUND((TODAY()-E802)/7,1))</f>
        <v>89.9</v>
      </c>
      <c r="G802" s="8" t="s">
        <v>52</v>
      </c>
      <c r="H802" s="8"/>
      <c r="I802" s="8" t="s">
        <v>192</v>
      </c>
      <c r="J802" s="8" t="s">
        <v>192</v>
      </c>
      <c r="K802" s="8" t="n">
        <v>2</v>
      </c>
      <c r="L802" s="10"/>
      <c r="M802" s="10"/>
      <c r="N802" s="10"/>
      <c r="O802" s="10"/>
      <c r="P802" s="8" t="str">
        <f aca="false">MID(IF(L802="","","; APP:"&amp;L802)&amp;IF(M802="","","; PS1:"&amp;M802)&amp;IF(N802="","","; AQP4:"&amp;N802)&amp;IF(O802="","","; CAG-EGFP:"&amp;O802),3,200)</f>
        <v/>
      </c>
      <c r="Q802" s="8" t="s">
        <v>82</v>
      </c>
      <c r="R802" s="8" t="s">
        <v>88</v>
      </c>
      <c r="S802" s="8"/>
      <c r="T802" s="11" t="s">
        <v>1132</v>
      </c>
    </row>
    <row r="803" customFormat="false" ht="17.15" hidden="false" customHeight="false" outlineLevel="0" collapsed="false">
      <c r="A803" s="7" t="s">
        <v>1143</v>
      </c>
      <c r="B803" s="8" t="s">
        <v>104</v>
      </c>
      <c r="C803" s="8" t="n">
        <v>98</v>
      </c>
      <c r="D803" s="8" t="s">
        <v>46</v>
      </c>
      <c r="E803" s="9" t="n">
        <v>45558</v>
      </c>
      <c r="F803" s="8" t="n">
        <f aca="true">IF(E803="","",ROUND((TODAY()-E803)/7,1))</f>
        <v>89.9</v>
      </c>
      <c r="G803" s="8" t="s">
        <v>52</v>
      </c>
      <c r="H803" s="8"/>
      <c r="I803" s="8" t="s">
        <v>192</v>
      </c>
      <c r="J803" s="8" t="s">
        <v>192</v>
      </c>
      <c r="K803" s="8" t="n">
        <v>2</v>
      </c>
      <c r="L803" s="10"/>
      <c r="M803" s="10"/>
      <c r="N803" s="10"/>
      <c r="O803" s="10"/>
      <c r="P803" s="8" t="str">
        <f aca="false">MID(IF(L803="","","; APP:"&amp;L803)&amp;IF(M803="","","; PS1:"&amp;M803)&amp;IF(N803="","","; AQP4:"&amp;N803)&amp;IF(O803="","","; CAG-EGFP:"&amp;O803),3,200)</f>
        <v/>
      </c>
      <c r="Q803" s="8" t="s">
        <v>82</v>
      </c>
      <c r="R803" s="8" t="s">
        <v>88</v>
      </c>
      <c r="S803" s="8"/>
      <c r="T803" s="11" t="s">
        <v>1132</v>
      </c>
    </row>
    <row r="804" customFormat="false" ht="15" hidden="false" customHeight="false" outlineLevel="0" collapsed="false">
      <c r="A804" s="7" t="s">
        <v>1144</v>
      </c>
      <c r="B804" s="8" t="s">
        <v>104</v>
      </c>
      <c r="C804" s="8" t="n">
        <v>99</v>
      </c>
      <c r="D804" s="8" t="s">
        <v>33</v>
      </c>
      <c r="E804" s="9" t="n">
        <v>45527</v>
      </c>
      <c r="F804" s="8" t="n">
        <f aca="true">IF(E804="","",ROUND((TODAY()-E804)/7,1))</f>
        <v>94.3</v>
      </c>
      <c r="G804" s="8" t="s">
        <v>38</v>
      </c>
      <c r="H804" s="8"/>
      <c r="I804" s="8" t="s">
        <v>192</v>
      </c>
      <c r="J804" s="8" t="s">
        <v>192</v>
      </c>
      <c r="K804" s="8" t="n">
        <v>2</v>
      </c>
      <c r="L804" s="10"/>
      <c r="M804" s="10"/>
      <c r="N804" s="10"/>
      <c r="O804" s="10"/>
      <c r="P804" s="8" t="str">
        <f aca="false">MID(IF(L804="","","; APP:"&amp;L804)&amp;IF(M804="","","; PS1:"&amp;M804)&amp;IF(N804="","","; AQP4:"&amp;N804)&amp;IF(O804="","","; CAG-EGFP:"&amp;O804),3,200)</f>
        <v/>
      </c>
      <c r="Q804" s="8" t="s">
        <v>82</v>
      </c>
      <c r="R804" s="8" t="s">
        <v>88</v>
      </c>
      <c r="S804" s="8"/>
      <c r="T804" s="8" t="s">
        <v>1129</v>
      </c>
    </row>
    <row r="805" customFormat="false" ht="17.15" hidden="false" customHeight="false" outlineLevel="0" collapsed="false">
      <c r="A805" s="7" t="s">
        <v>1145</v>
      </c>
      <c r="B805" s="8" t="s">
        <v>104</v>
      </c>
      <c r="C805" s="8" t="n">
        <v>100</v>
      </c>
      <c r="D805" s="8" t="s">
        <v>33</v>
      </c>
      <c r="E805" s="9" t="n">
        <v>45609</v>
      </c>
      <c r="F805" s="8" t="n">
        <f aca="true">IF(E805="","",ROUND((TODAY()-E805)/7,1))</f>
        <v>82.6</v>
      </c>
      <c r="G805" s="8" t="s">
        <v>52</v>
      </c>
      <c r="H805" s="8"/>
      <c r="I805" s="8" t="s">
        <v>192</v>
      </c>
      <c r="J805" s="8" t="s">
        <v>192</v>
      </c>
      <c r="K805" s="8" t="n">
        <v>2</v>
      </c>
      <c r="L805" s="10"/>
      <c r="M805" s="10"/>
      <c r="N805" s="10"/>
      <c r="O805" s="10"/>
      <c r="P805" s="8" t="str">
        <f aca="false">MID(IF(L805="","","; APP:"&amp;L805)&amp;IF(M805="","","; PS1:"&amp;M805)&amp;IF(N805="","","; AQP4:"&amp;N805)&amp;IF(O805="","","; CAG-EGFP:"&amp;O805),3,200)</f>
        <v/>
      </c>
      <c r="Q805" s="8" t="s">
        <v>82</v>
      </c>
      <c r="R805" s="8" t="s">
        <v>88</v>
      </c>
      <c r="S805" s="8"/>
      <c r="T805" s="11" t="s">
        <v>1146</v>
      </c>
    </row>
    <row r="806" customFormat="false" ht="17.15" hidden="false" customHeight="false" outlineLevel="0" collapsed="false">
      <c r="A806" s="7" t="s">
        <v>1147</v>
      </c>
      <c r="B806" s="8" t="s">
        <v>104</v>
      </c>
      <c r="C806" s="8" t="n">
        <v>101</v>
      </c>
      <c r="D806" s="8" t="s">
        <v>33</v>
      </c>
      <c r="E806" s="9" t="n">
        <v>45609</v>
      </c>
      <c r="F806" s="8" t="n">
        <f aca="true">IF(E806="","",ROUND((TODAY()-E806)/7,1))</f>
        <v>82.6</v>
      </c>
      <c r="G806" s="8" t="s">
        <v>52</v>
      </c>
      <c r="H806" s="8"/>
      <c r="I806" s="8" t="s">
        <v>192</v>
      </c>
      <c r="J806" s="8" t="s">
        <v>192</v>
      </c>
      <c r="K806" s="8" t="n">
        <v>2</v>
      </c>
      <c r="L806" s="10"/>
      <c r="M806" s="10"/>
      <c r="N806" s="10"/>
      <c r="O806" s="10"/>
      <c r="P806" s="8" t="str">
        <f aca="false">MID(IF(L806="","","; APP:"&amp;L806)&amp;IF(M806="","","; PS1:"&amp;M806)&amp;IF(N806="","","; AQP4:"&amp;N806)&amp;IF(O806="","","; CAG-EGFP:"&amp;O806),3,200)</f>
        <v/>
      </c>
      <c r="Q806" s="8" t="s">
        <v>82</v>
      </c>
      <c r="R806" s="8" t="s">
        <v>88</v>
      </c>
      <c r="S806" s="8"/>
      <c r="T806" s="11" t="s">
        <v>1146</v>
      </c>
    </row>
    <row r="807" customFormat="false" ht="17.15" hidden="false" customHeight="false" outlineLevel="0" collapsed="false">
      <c r="A807" s="7" t="s">
        <v>1148</v>
      </c>
      <c r="B807" s="8" t="s">
        <v>104</v>
      </c>
      <c r="C807" s="8" t="n">
        <v>102</v>
      </c>
      <c r="D807" s="8" t="s">
        <v>33</v>
      </c>
      <c r="E807" s="9" t="n">
        <v>45609</v>
      </c>
      <c r="F807" s="8" t="n">
        <f aca="true">IF(E807="","",ROUND((TODAY()-E807)/7,1))</f>
        <v>82.6</v>
      </c>
      <c r="G807" s="8" t="s">
        <v>52</v>
      </c>
      <c r="H807" s="8"/>
      <c r="I807" s="8" t="s">
        <v>192</v>
      </c>
      <c r="J807" s="8" t="s">
        <v>192</v>
      </c>
      <c r="K807" s="8" t="n">
        <v>2</v>
      </c>
      <c r="L807" s="10"/>
      <c r="M807" s="10"/>
      <c r="N807" s="10"/>
      <c r="O807" s="10"/>
      <c r="P807" s="8" t="str">
        <f aca="false">MID(IF(L807="","","; APP:"&amp;L807)&amp;IF(M807="","","; PS1:"&amp;M807)&amp;IF(N807="","","; AQP4:"&amp;N807)&amp;IF(O807="","","; CAG-EGFP:"&amp;O807),3,200)</f>
        <v/>
      </c>
      <c r="Q807" s="8" t="s">
        <v>82</v>
      </c>
      <c r="R807" s="8" t="s">
        <v>88</v>
      </c>
      <c r="S807" s="8"/>
      <c r="T807" s="11" t="s">
        <v>1146</v>
      </c>
    </row>
    <row r="808" customFormat="false" ht="17.15" hidden="false" customHeight="false" outlineLevel="0" collapsed="false">
      <c r="A808" s="7" t="s">
        <v>1149</v>
      </c>
      <c r="B808" s="8" t="s">
        <v>104</v>
      </c>
      <c r="C808" s="8" t="n">
        <v>103</v>
      </c>
      <c r="D808" s="8" t="s">
        <v>33</v>
      </c>
      <c r="E808" s="9" t="n">
        <v>45609</v>
      </c>
      <c r="F808" s="8" t="n">
        <f aca="true">IF(E808="","",ROUND((TODAY()-E808)/7,1))</f>
        <v>82.6</v>
      </c>
      <c r="G808" s="8" t="s">
        <v>52</v>
      </c>
      <c r="H808" s="8"/>
      <c r="I808" s="8" t="s">
        <v>192</v>
      </c>
      <c r="J808" s="8" t="s">
        <v>192</v>
      </c>
      <c r="K808" s="8" t="n">
        <v>2</v>
      </c>
      <c r="L808" s="10"/>
      <c r="M808" s="10"/>
      <c r="N808" s="10"/>
      <c r="O808" s="10"/>
      <c r="P808" s="8" t="str">
        <f aca="false">MID(IF(L808="","","; APP:"&amp;L808)&amp;IF(M808="","","; PS1:"&amp;M808)&amp;IF(N808="","","; AQP4:"&amp;N808)&amp;IF(O808="","","; CAG-EGFP:"&amp;O808),3,200)</f>
        <v/>
      </c>
      <c r="Q808" s="8" t="s">
        <v>82</v>
      </c>
      <c r="R808" s="8" t="s">
        <v>88</v>
      </c>
      <c r="S808" s="8"/>
      <c r="T808" s="11" t="s">
        <v>1146</v>
      </c>
    </row>
    <row r="809" customFormat="false" ht="17.15" hidden="false" customHeight="false" outlineLevel="0" collapsed="false">
      <c r="A809" s="7" t="s">
        <v>1150</v>
      </c>
      <c r="B809" s="8" t="s">
        <v>104</v>
      </c>
      <c r="C809" s="8" t="n">
        <v>104</v>
      </c>
      <c r="D809" s="8" t="s">
        <v>33</v>
      </c>
      <c r="E809" s="9" t="n">
        <v>45609</v>
      </c>
      <c r="F809" s="8" t="n">
        <f aca="true">IF(E809="","",ROUND((TODAY()-E809)/7,1))</f>
        <v>82.6</v>
      </c>
      <c r="G809" s="8" t="s">
        <v>52</v>
      </c>
      <c r="H809" s="8"/>
      <c r="I809" s="8" t="s">
        <v>192</v>
      </c>
      <c r="J809" s="8" t="s">
        <v>192</v>
      </c>
      <c r="K809" s="8" t="n">
        <v>2</v>
      </c>
      <c r="L809" s="10"/>
      <c r="M809" s="10"/>
      <c r="N809" s="10"/>
      <c r="O809" s="10"/>
      <c r="P809" s="8" t="str">
        <f aca="false">MID(IF(L809="","","; APP:"&amp;L809)&amp;IF(M809="","","; PS1:"&amp;M809)&amp;IF(N809="","","; AQP4:"&amp;N809)&amp;IF(O809="","","; CAG-EGFP:"&amp;O809),3,200)</f>
        <v/>
      </c>
      <c r="Q809" s="8" t="s">
        <v>82</v>
      </c>
      <c r="R809" s="8" t="s">
        <v>88</v>
      </c>
      <c r="S809" s="8"/>
      <c r="T809" s="11" t="s">
        <v>1146</v>
      </c>
    </row>
    <row r="810" customFormat="false" ht="17.15" hidden="false" customHeight="false" outlineLevel="0" collapsed="false">
      <c r="A810" s="7" t="s">
        <v>1151</v>
      </c>
      <c r="B810" s="8" t="s">
        <v>104</v>
      </c>
      <c r="C810" s="8" t="n">
        <v>105</v>
      </c>
      <c r="D810" s="8" t="s">
        <v>33</v>
      </c>
      <c r="E810" s="9" t="n">
        <v>45609</v>
      </c>
      <c r="F810" s="8" t="n">
        <f aca="true">IF(E810="","",ROUND((TODAY()-E810)/7,1))</f>
        <v>82.6</v>
      </c>
      <c r="G810" s="8" t="s">
        <v>52</v>
      </c>
      <c r="H810" s="8"/>
      <c r="I810" s="8" t="s">
        <v>192</v>
      </c>
      <c r="J810" s="8" t="s">
        <v>192</v>
      </c>
      <c r="K810" s="8" t="n">
        <v>2</v>
      </c>
      <c r="L810" s="10"/>
      <c r="M810" s="10"/>
      <c r="N810" s="10"/>
      <c r="O810" s="10"/>
      <c r="P810" s="8" t="str">
        <f aca="false">MID(IF(L810="","","; APP:"&amp;L810)&amp;IF(M810="","","; PS1:"&amp;M810)&amp;IF(N810="","","; AQP4:"&amp;N810)&amp;IF(O810="","","; CAG-EGFP:"&amp;O810),3,200)</f>
        <v/>
      </c>
      <c r="Q810" s="8" t="s">
        <v>82</v>
      </c>
      <c r="R810" s="8" t="s">
        <v>88</v>
      </c>
      <c r="S810" s="8"/>
      <c r="T810" s="11" t="s">
        <v>1146</v>
      </c>
    </row>
    <row r="811" customFormat="false" ht="17.15" hidden="false" customHeight="false" outlineLevel="0" collapsed="false">
      <c r="A811" s="7" t="s">
        <v>1152</v>
      </c>
      <c r="B811" s="8" t="s">
        <v>104</v>
      </c>
      <c r="C811" s="8" t="n">
        <v>106</v>
      </c>
      <c r="D811" s="8" t="s">
        <v>33</v>
      </c>
      <c r="E811" s="9" t="n">
        <v>45609</v>
      </c>
      <c r="F811" s="8" t="n">
        <f aca="true">IF(E811="","",ROUND((TODAY()-E811)/7,1))</f>
        <v>82.6</v>
      </c>
      <c r="G811" s="8" t="s">
        <v>52</v>
      </c>
      <c r="H811" s="8"/>
      <c r="I811" s="8" t="s">
        <v>192</v>
      </c>
      <c r="J811" s="8" t="s">
        <v>192</v>
      </c>
      <c r="K811" s="8" t="n">
        <v>2</v>
      </c>
      <c r="L811" s="10"/>
      <c r="M811" s="10"/>
      <c r="N811" s="10"/>
      <c r="O811" s="10"/>
      <c r="P811" s="8" t="str">
        <f aca="false">MID(IF(L811="","","; APP:"&amp;L811)&amp;IF(M811="","","; PS1:"&amp;M811)&amp;IF(N811="","","; AQP4:"&amp;N811)&amp;IF(O811="","","; CAG-EGFP:"&amp;O811),3,200)</f>
        <v/>
      </c>
      <c r="Q811" s="8" t="s">
        <v>82</v>
      </c>
      <c r="R811" s="8" t="s">
        <v>88</v>
      </c>
      <c r="S811" s="8"/>
      <c r="T811" s="11" t="s">
        <v>1146</v>
      </c>
    </row>
    <row r="812" customFormat="false" ht="17.15" hidden="false" customHeight="false" outlineLevel="0" collapsed="false">
      <c r="A812" s="7" t="s">
        <v>1153</v>
      </c>
      <c r="B812" s="8" t="s">
        <v>104</v>
      </c>
      <c r="C812" s="8" t="n">
        <v>107</v>
      </c>
      <c r="D812" s="8" t="s">
        <v>33</v>
      </c>
      <c r="E812" s="9" t="n">
        <v>45609</v>
      </c>
      <c r="F812" s="8" t="n">
        <f aca="true">IF(E812="","",ROUND((TODAY()-E812)/7,1))</f>
        <v>82.6</v>
      </c>
      <c r="G812" s="8" t="s">
        <v>52</v>
      </c>
      <c r="H812" s="8"/>
      <c r="I812" s="8" t="s">
        <v>192</v>
      </c>
      <c r="J812" s="8" t="s">
        <v>192</v>
      </c>
      <c r="K812" s="8" t="n">
        <v>2</v>
      </c>
      <c r="L812" s="10"/>
      <c r="M812" s="10"/>
      <c r="N812" s="10"/>
      <c r="O812" s="10"/>
      <c r="P812" s="8" t="str">
        <f aca="false">MID(IF(L812="","","; APP:"&amp;L812)&amp;IF(M812="","","; PS1:"&amp;M812)&amp;IF(N812="","","; AQP4:"&amp;N812)&amp;IF(O812="","","; CAG-EGFP:"&amp;O812),3,200)</f>
        <v/>
      </c>
      <c r="Q812" s="8" t="s">
        <v>82</v>
      </c>
      <c r="R812" s="8" t="s">
        <v>88</v>
      </c>
      <c r="S812" s="8"/>
      <c r="T812" s="11" t="s">
        <v>1146</v>
      </c>
    </row>
    <row r="813" customFormat="false" ht="17.15" hidden="false" customHeight="false" outlineLevel="0" collapsed="false">
      <c r="A813" s="7" t="s">
        <v>1154</v>
      </c>
      <c r="B813" s="8" t="s">
        <v>104</v>
      </c>
      <c r="C813" s="8" t="n">
        <v>108</v>
      </c>
      <c r="D813" s="8" t="s">
        <v>33</v>
      </c>
      <c r="E813" s="9" t="n">
        <v>45609</v>
      </c>
      <c r="F813" s="8" t="n">
        <f aca="true">IF(E813="","",ROUND((TODAY()-E813)/7,1))</f>
        <v>82.6</v>
      </c>
      <c r="G813" s="8" t="s">
        <v>52</v>
      </c>
      <c r="H813" s="8"/>
      <c r="I813" s="8" t="s">
        <v>192</v>
      </c>
      <c r="J813" s="8" t="s">
        <v>192</v>
      </c>
      <c r="K813" s="8" t="n">
        <v>2</v>
      </c>
      <c r="L813" s="10"/>
      <c r="M813" s="10"/>
      <c r="N813" s="10"/>
      <c r="O813" s="10"/>
      <c r="P813" s="8" t="str">
        <f aca="false">MID(IF(L813="","","; APP:"&amp;L813)&amp;IF(M813="","","; PS1:"&amp;M813)&amp;IF(N813="","","; AQP4:"&amp;N813)&amp;IF(O813="","","; CAG-EGFP:"&amp;O813),3,200)</f>
        <v/>
      </c>
      <c r="Q813" s="8" t="s">
        <v>82</v>
      </c>
      <c r="R813" s="8" t="s">
        <v>88</v>
      </c>
      <c r="S813" s="8"/>
      <c r="T813" s="11" t="s">
        <v>1146</v>
      </c>
    </row>
    <row r="814" customFormat="false" ht="17.15" hidden="false" customHeight="false" outlineLevel="0" collapsed="false">
      <c r="A814" s="7" t="s">
        <v>1155</v>
      </c>
      <c r="B814" s="8" t="s">
        <v>104</v>
      </c>
      <c r="C814" s="8" t="n">
        <v>109</v>
      </c>
      <c r="D814" s="8" t="s">
        <v>33</v>
      </c>
      <c r="E814" s="9" t="n">
        <v>45609</v>
      </c>
      <c r="F814" s="8" t="n">
        <f aca="true">IF(E814="","",ROUND((TODAY()-E814)/7,1))</f>
        <v>82.6</v>
      </c>
      <c r="G814" s="8" t="s">
        <v>52</v>
      </c>
      <c r="H814" s="8"/>
      <c r="I814" s="8" t="s">
        <v>192</v>
      </c>
      <c r="J814" s="8" t="s">
        <v>192</v>
      </c>
      <c r="K814" s="8" t="n">
        <v>2</v>
      </c>
      <c r="L814" s="10"/>
      <c r="M814" s="10"/>
      <c r="N814" s="10"/>
      <c r="O814" s="10"/>
      <c r="P814" s="8" t="str">
        <f aca="false">MID(IF(L814="","","; APP:"&amp;L814)&amp;IF(M814="","","; PS1:"&amp;M814)&amp;IF(N814="","","; AQP4:"&amp;N814)&amp;IF(O814="","","; CAG-EGFP:"&amp;O814),3,200)</f>
        <v/>
      </c>
      <c r="Q814" s="8" t="s">
        <v>82</v>
      </c>
      <c r="R814" s="8" t="s">
        <v>88</v>
      </c>
      <c r="S814" s="8"/>
      <c r="T814" s="11" t="s">
        <v>1146</v>
      </c>
    </row>
    <row r="815" customFormat="false" ht="17.15" hidden="false" customHeight="false" outlineLevel="0" collapsed="false">
      <c r="A815" s="7" t="s">
        <v>1156</v>
      </c>
      <c r="B815" s="8" t="s">
        <v>104</v>
      </c>
      <c r="C815" s="8" t="n">
        <v>110</v>
      </c>
      <c r="D815" s="8" t="s">
        <v>33</v>
      </c>
      <c r="E815" s="9" t="n">
        <v>45609</v>
      </c>
      <c r="F815" s="8" t="n">
        <f aca="true">IF(E815="","",ROUND((TODAY()-E815)/7,1))</f>
        <v>82.6</v>
      </c>
      <c r="G815" s="8" t="s">
        <v>52</v>
      </c>
      <c r="H815" s="8"/>
      <c r="I815" s="8" t="s">
        <v>192</v>
      </c>
      <c r="J815" s="8" t="s">
        <v>192</v>
      </c>
      <c r="K815" s="8" t="n">
        <v>2</v>
      </c>
      <c r="L815" s="10"/>
      <c r="M815" s="10"/>
      <c r="N815" s="10"/>
      <c r="O815" s="10"/>
      <c r="P815" s="8" t="str">
        <f aca="false">MID(IF(L815="","","; APP:"&amp;L815)&amp;IF(M815="","","; PS1:"&amp;M815)&amp;IF(N815="","","; AQP4:"&amp;N815)&amp;IF(O815="","","; CAG-EGFP:"&amp;O815),3,200)</f>
        <v/>
      </c>
      <c r="Q815" s="8" t="s">
        <v>82</v>
      </c>
      <c r="R815" s="8" t="s">
        <v>88</v>
      </c>
      <c r="S815" s="8"/>
      <c r="T815" s="11" t="s">
        <v>1146</v>
      </c>
    </row>
    <row r="816" customFormat="false" ht="17.15" hidden="false" customHeight="false" outlineLevel="0" collapsed="false">
      <c r="A816" s="7" t="s">
        <v>1157</v>
      </c>
      <c r="B816" s="8" t="s">
        <v>104</v>
      </c>
      <c r="C816" s="8" t="n">
        <v>111</v>
      </c>
      <c r="D816" s="8" t="s">
        <v>33</v>
      </c>
      <c r="E816" s="9" t="n">
        <v>45609</v>
      </c>
      <c r="F816" s="8" t="n">
        <f aca="true">IF(E816="","",ROUND((TODAY()-E816)/7,1))</f>
        <v>82.6</v>
      </c>
      <c r="G816" s="8" t="s">
        <v>52</v>
      </c>
      <c r="H816" s="8"/>
      <c r="I816" s="8" t="s">
        <v>192</v>
      </c>
      <c r="J816" s="8" t="s">
        <v>192</v>
      </c>
      <c r="K816" s="8" t="n">
        <v>2</v>
      </c>
      <c r="L816" s="10"/>
      <c r="M816" s="10"/>
      <c r="N816" s="10"/>
      <c r="O816" s="10"/>
      <c r="P816" s="8" t="str">
        <f aca="false">MID(IF(L816="","","; APP:"&amp;L816)&amp;IF(M816="","","; PS1:"&amp;M816)&amp;IF(N816="","","; AQP4:"&amp;N816)&amp;IF(O816="","","; CAG-EGFP:"&amp;O816),3,200)</f>
        <v/>
      </c>
      <c r="Q816" s="8" t="s">
        <v>82</v>
      </c>
      <c r="R816" s="8" t="s">
        <v>88</v>
      </c>
      <c r="S816" s="8"/>
      <c r="T816" s="11" t="s">
        <v>1146</v>
      </c>
    </row>
    <row r="817" customFormat="false" ht="17.15" hidden="false" customHeight="false" outlineLevel="0" collapsed="false">
      <c r="A817" s="7" t="s">
        <v>1158</v>
      </c>
      <c r="B817" s="8" t="s">
        <v>104</v>
      </c>
      <c r="C817" s="8" t="n">
        <v>112</v>
      </c>
      <c r="D817" s="8" t="s">
        <v>33</v>
      </c>
      <c r="E817" s="9" t="n">
        <v>45609</v>
      </c>
      <c r="F817" s="8" t="n">
        <f aca="true">IF(E817="","",ROUND((TODAY()-E817)/7,1))</f>
        <v>82.6</v>
      </c>
      <c r="G817" s="8" t="s">
        <v>52</v>
      </c>
      <c r="H817" s="8"/>
      <c r="I817" s="8" t="s">
        <v>192</v>
      </c>
      <c r="J817" s="8" t="s">
        <v>192</v>
      </c>
      <c r="K817" s="8" t="n">
        <v>2</v>
      </c>
      <c r="L817" s="10"/>
      <c r="M817" s="10"/>
      <c r="N817" s="10"/>
      <c r="O817" s="10"/>
      <c r="P817" s="8" t="str">
        <f aca="false">MID(IF(L817="","","; APP:"&amp;L817)&amp;IF(M817="","","; PS1:"&amp;M817)&amp;IF(N817="","","; AQP4:"&amp;N817)&amp;IF(O817="","","; CAG-EGFP:"&amp;O817),3,200)</f>
        <v/>
      </c>
      <c r="Q817" s="8" t="s">
        <v>82</v>
      </c>
      <c r="R817" s="8" t="s">
        <v>88</v>
      </c>
      <c r="S817" s="8"/>
      <c r="T817" s="11" t="s">
        <v>1146</v>
      </c>
    </row>
    <row r="818" customFormat="false" ht="17.15" hidden="false" customHeight="false" outlineLevel="0" collapsed="false">
      <c r="A818" s="7" t="s">
        <v>1159</v>
      </c>
      <c r="B818" s="8" t="s">
        <v>104</v>
      </c>
      <c r="C818" s="8" t="n">
        <v>113</v>
      </c>
      <c r="D818" s="8" t="s">
        <v>33</v>
      </c>
      <c r="E818" s="9" t="n">
        <v>45609</v>
      </c>
      <c r="F818" s="8" t="n">
        <f aca="true">IF(E818="","",ROUND((TODAY()-E818)/7,1))</f>
        <v>82.6</v>
      </c>
      <c r="G818" s="8" t="s">
        <v>52</v>
      </c>
      <c r="H818" s="8"/>
      <c r="I818" s="8" t="s">
        <v>192</v>
      </c>
      <c r="J818" s="8" t="s">
        <v>192</v>
      </c>
      <c r="K818" s="8" t="n">
        <v>2</v>
      </c>
      <c r="L818" s="10"/>
      <c r="M818" s="10"/>
      <c r="N818" s="10"/>
      <c r="O818" s="10"/>
      <c r="P818" s="8" t="str">
        <f aca="false">MID(IF(L818="","","; APP:"&amp;L818)&amp;IF(M818="","","; PS1:"&amp;M818)&amp;IF(N818="","","; AQP4:"&amp;N818)&amp;IF(O818="","","; CAG-EGFP:"&amp;O818),3,200)</f>
        <v/>
      </c>
      <c r="Q818" s="8" t="s">
        <v>82</v>
      </c>
      <c r="R818" s="8" t="s">
        <v>88</v>
      </c>
      <c r="S818" s="8"/>
      <c r="T818" s="11" t="s">
        <v>1146</v>
      </c>
    </row>
    <row r="819" customFormat="false" ht="17.15" hidden="false" customHeight="false" outlineLevel="0" collapsed="false">
      <c r="A819" s="7" t="s">
        <v>1160</v>
      </c>
      <c r="B819" s="8" t="s">
        <v>104</v>
      </c>
      <c r="C819" s="8" t="n">
        <v>114</v>
      </c>
      <c r="D819" s="8" t="s">
        <v>33</v>
      </c>
      <c r="E819" s="9" t="n">
        <v>45609</v>
      </c>
      <c r="F819" s="8" t="n">
        <f aca="true">IF(E819="","",ROUND((TODAY()-E819)/7,1))</f>
        <v>82.6</v>
      </c>
      <c r="G819" s="8" t="s">
        <v>52</v>
      </c>
      <c r="H819" s="8"/>
      <c r="I819" s="8" t="s">
        <v>192</v>
      </c>
      <c r="J819" s="8" t="s">
        <v>192</v>
      </c>
      <c r="K819" s="8" t="n">
        <v>2</v>
      </c>
      <c r="L819" s="10"/>
      <c r="M819" s="10"/>
      <c r="N819" s="10"/>
      <c r="O819" s="10"/>
      <c r="P819" s="8" t="str">
        <f aca="false">MID(IF(L819="","","; APP:"&amp;L819)&amp;IF(M819="","","; PS1:"&amp;M819)&amp;IF(N819="","","; AQP4:"&amp;N819)&amp;IF(O819="","","; CAG-EGFP:"&amp;O819),3,200)</f>
        <v/>
      </c>
      <c r="Q819" s="8" t="s">
        <v>82</v>
      </c>
      <c r="R819" s="8" t="s">
        <v>88</v>
      </c>
      <c r="S819" s="8"/>
      <c r="T819" s="11" t="s">
        <v>1146</v>
      </c>
    </row>
    <row r="820" customFormat="false" ht="17.15" hidden="false" customHeight="false" outlineLevel="0" collapsed="false">
      <c r="A820" s="7" t="s">
        <v>1161</v>
      </c>
      <c r="B820" s="8" t="s">
        <v>104</v>
      </c>
      <c r="C820" s="8" t="n">
        <v>115</v>
      </c>
      <c r="D820" s="8" t="s">
        <v>33</v>
      </c>
      <c r="E820" s="9" t="n">
        <v>45609</v>
      </c>
      <c r="F820" s="8" t="n">
        <f aca="true">IF(E820="","",ROUND((TODAY()-E820)/7,1))</f>
        <v>82.6</v>
      </c>
      <c r="G820" s="8" t="s">
        <v>52</v>
      </c>
      <c r="H820" s="8"/>
      <c r="I820" s="8" t="s">
        <v>192</v>
      </c>
      <c r="J820" s="8" t="s">
        <v>192</v>
      </c>
      <c r="K820" s="8" t="n">
        <v>2</v>
      </c>
      <c r="L820" s="10"/>
      <c r="M820" s="10"/>
      <c r="N820" s="10"/>
      <c r="O820" s="10"/>
      <c r="P820" s="8" t="str">
        <f aca="false">MID(IF(L820="","","; APP:"&amp;L820)&amp;IF(M820="","","; PS1:"&amp;M820)&amp;IF(N820="","","; AQP4:"&amp;N820)&amp;IF(O820="","","; CAG-EGFP:"&amp;O820),3,200)</f>
        <v/>
      </c>
      <c r="Q820" s="8" t="s">
        <v>82</v>
      </c>
      <c r="R820" s="8" t="s">
        <v>88</v>
      </c>
      <c r="S820" s="8"/>
      <c r="T820" s="11" t="s">
        <v>1146</v>
      </c>
    </row>
    <row r="821" customFormat="false" ht="17.15" hidden="false" customHeight="false" outlineLevel="0" collapsed="false">
      <c r="A821" s="7" t="s">
        <v>1162</v>
      </c>
      <c r="B821" s="8" t="s">
        <v>104</v>
      </c>
      <c r="C821" s="8" t="n">
        <v>116</v>
      </c>
      <c r="D821" s="8" t="s">
        <v>33</v>
      </c>
      <c r="E821" s="9" t="n">
        <v>45609</v>
      </c>
      <c r="F821" s="8" t="n">
        <f aca="true">IF(E821="","",ROUND((TODAY()-E821)/7,1))</f>
        <v>82.6</v>
      </c>
      <c r="G821" s="8" t="s">
        <v>52</v>
      </c>
      <c r="H821" s="8"/>
      <c r="I821" s="8" t="s">
        <v>192</v>
      </c>
      <c r="J821" s="8" t="s">
        <v>192</v>
      </c>
      <c r="K821" s="8" t="n">
        <v>2</v>
      </c>
      <c r="L821" s="10"/>
      <c r="M821" s="10"/>
      <c r="N821" s="10"/>
      <c r="O821" s="10"/>
      <c r="P821" s="8" t="str">
        <f aca="false">MID(IF(L821="","","; APP:"&amp;L821)&amp;IF(M821="","","; PS1:"&amp;M821)&amp;IF(N821="","","; AQP4:"&amp;N821)&amp;IF(O821="","","; CAG-EGFP:"&amp;O821),3,200)</f>
        <v/>
      </c>
      <c r="Q821" s="8" t="s">
        <v>82</v>
      </c>
      <c r="R821" s="8" t="s">
        <v>88</v>
      </c>
      <c r="S821" s="8"/>
      <c r="T821" s="11" t="s">
        <v>1146</v>
      </c>
    </row>
    <row r="822" customFormat="false" ht="15" hidden="false" customHeight="false" outlineLevel="0" collapsed="false">
      <c r="A822" s="7" t="s">
        <v>1163</v>
      </c>
      <c r="B822" s="8" t="s">
        <v>104</v>
      </c>
      <c r="C822" s="8" t="n">
        <v>117</v>
      </c>
      <c r="D822" s="8" t="s">
        <v>33</v>
      </c>
      <c r="E822" s="9" t="n">
        <v>45527</v>
      </c>
      <c r="F822" s="8" t="n">
        <f aca="true">IF(E822="","",ROUND((TODAY()-E822)/7,1))</f>
        <v>94.3</v>
      </c>
      <c r="G822" s="8" t="s">
        <v>38</v>
      </c>
      <c r="H822" s="8"/>
      <c r="I822" s="8" t="s">
        <v>192</v>
      </c>
      <c r="J822" s="8" t="s">
        <v>192</v>
      </c>
      <c r="K822" s="8" t="n">
        <v>2</v>
      </c>
      <c r="L822" s="10"/>
      <c r="M822" s="10"/>
      <c r="N822" s="10"/>
      <c r="O822" s="10"/>
      <c r="P822" s="8" t="str">
        <f aca="false">MID(IF(L822="","","; APP:"&amp;L822)&amp;IF(M822="","","; PS1:"&amp;M822)&amp;IF(N822="","","; AQP4:"&amp;N822)&amp;IF(O822="","","; CAG-EGFP:"&amp;O822),3,200)</f>
        <v/>
      </c>
      <c r="Q822" s="8" t="s">
        <v>82</v>
      </c>
      <c r="R822" s="8" t="s">
        <v>88</v>
      </c>
      <c r="S822" s="8"/>
      <c r="T822" s="8" t="s">
        <v>1129</v>
      </c>
    </row>
  </sheetData>
  <dataValidations count="9">
    <dataValidation allowBlank="true" errorStyle="stop" operator="between" showDropDown="false" showErrorMessage="false" showInputMessage="false" sqref="B2:B900" type="list">
      <formula1>lines!$A$2:$A$20</formula1>
      <formula2>0</formula2>
    </dataValidation>
    <dataValidation allowBlank="true" errorStyle="stop" operator="between" showDropDown="false" showErrorMessage="false" showInputMessage="false" sqref="D2:D900" type="list">
      <formula1>vocab!$A$2:$A$4</formula1>
      <formula2>0</formula2>
    </dataValidation>
    <dataValidation allowBlank="true" errorStyle="stop" operator="between" showDropDown="false" showErrorMessage="false" showInputMessage="false" sqref="G2:G900" type="list">
      <formula1>vocab!$G$2:$G$3</formula1>
      <formula2>0</formula2>
    </dataValidation>
    <dataValidation allowBlank="true" errorStyle="stop" operator="between" showDropDown="false" showErrorMessage="false" showInputMessage="false" sqref="L2:L900" type="list">
      <formula1>vocab!$C$2:$C$7</formula1>
      <formula2>0</formula2>
    </dataValidation>
    <dataValidation allowBlank="true" errorStyle="stop" operator="between" showDropDown="false" showErrorMessage="false" showInputMessage="false" sqref="M2:M900" type="list">
      <formula1>vocab!$C$2:$C$7</formula1>
      <formula2>0</formula2>
    </dataValidation>
    <dataValidation allowBlank="true" errorStyle="stop" operator="between" showDropDown="false" showErrorMessage="false" showInputMessage="false" sqref="N2:N900" type="list">
      <formula1>vocab!$C$2:$C$7</formula1>
      <formula2>0</formula2>
    </dataValidation>
    <dataValidation allowBlank="true" errorStyle="stop" operator="between" showDropDown="false" showErrorMessage="false" showInputMessage="false" sqref="O2:O900" type="list">
      <formula1>vocab!$C$2:$C$7</formula1>
      <formula2>0</formula2>
    </dataValidation>
    <dataValidation allowBlank="true" errorStyle="stop" operator="between" showDropDown="false" showErrorMessage="false" showInputMessage="false" sqref="Q2:Q900" type="list">
      <formula1>vocab!$B$2:$B$6</formula1>
      <formula2>0</formula2>
    </dataValidation>
    <dataValidation allowBlank="true" errorStyle="stop" operator="between" showDropDown="false" showErrorMessage="false" showInputMessage="false" sqref="R2:R900" type="list">
      <formula1>vocab!$D$2:$D$11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</cols>
  <sheetData>
    <row r="1" customFormat="false" ht="24" hidden="false" customHeight="true" outlineLevel="0" collapsed="false">
      <c r="A1" s="6" t="s">
        <v>1164</v>
      </c>
      <c r="B1" s="6" t="s">
        <v>1165</v>
      </c>
      <c r="C1" s="6" t="s">
        <v>146</v>
      </c>
      <c r="D1" s="6" t="s">
        <v>103</v>
      </c>
    </row>
    <row r="2" customFormat="false" ht="15" hidden="false" customHeight="false" outlineLevel="0" collapsed="false">
      <c r="A2" s="7" t="s">
        <v>1166</v>
      </c>
      <c r="B2" s="8" t="s">
        <v>1167</v>
      </c>
      <c r="C2" s="8" t="s">
        <v>50</v>
      </c>
      <c r="D2" s="11" t="s">
        <v>1168</v>
      </c>
    </row>
    <row r="3" customFormat="false" ht="17.15" hidden="false" customHeight="false" outlineLevel="0" collapsed="false">
      <c r="A3" s="7" t="s">
        <v>1169</v>
      </c>
      <c r="B3" s="8" t="s">
        <v>1170</v>
      </c>
      <c r="C3" s="8" t="s">
        <v>50</v>
      </c>
      <c r="D3" s="11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28"/>
    <col collapsed="false" customWidth="true" hidden="false" outlineLevel="0" max="11" min="11" style="0" width="18"/>
  </cols>
  <sheetData>
    <row r="1" customFormat="false" ht="24" hidden="false" customHeight="true" outlineLevel="0" collapsed="false">
      <c r="A1" s="6" t="s">
        <v>1172</v>
      </c>
      <c r="B1" s="6" t="s">
        <v>133</v>
      </c>
      <c r="C1" s="6" t="s">
        <v>26</v>
      </c>
      <c r="D1" s="6" t="s">
        <v>18</v>
      </c>
      <c r="E1" s="6" t="s">
        <v>1173</v>
      </c>
      <c r="F1" s="6" t="s">
        <v>1174</v>
      </c>
      <c r="G1" s="6" t="s">
        <v>136</v>
      </c>
      <c r="H1" s="6" t="s">
        <v>1175</v>
      </c>
      <c r="I1" s="6" t="s">
        <v>31</v>
      </c>
      <c r="J1" s="6" t="s">
        <v>103</v>
      </c>
      <c r="K1" s="6" t="s">
        <v>1176</v>
      </c>
    </row>
    <row r="2" customFormat="false" ht="15" hidden="false" customHeight="false" outlineLevel="0" collapsed="false">
      <c r="A2" s="7" t="s">
        <v>1177</v>
      </c>
      <c r="B2" s="12"/>
      <c r="C2" s="8" t="s">
        <v>40</v>
      </c>
      <c r="D2" s="8" t="s">
        <v>33</v>
      </c>
      <c r="E2" s="8" t="s">
        <v>114</v>
      </c>
      <c r="F2" s="9" t="n">
        <v>44618</v>
      </c>
      <c r="G2" s="8" t="n">
        <f aca="true">IF(F2="","",ROUND((IF(H2="",TODAY(),H2)-F2)/7,1))</f>
        <v>37.9</v>
      </c>
      <c r="H2" s="9" t="n">
        <v>44883</v>
      </c>
      <c r="I2" s="8" t="s">
        <v>45</v>
      </c>
      <c r="J2" s="8" t="s">
        <v>1178</v>
      </c>
      <c r="K2" s="13" t="str">
        <f aca="false">IFERROR(VLOOKUP(B2,colony!$A:$T,16,FALSE()),"")</f>
        <v/>
      </c>
    </row>
    <row r="3" customFormat="false" ht="15" hidden="false" customHeight="false" outlineLevel="0" collapsed="false">
      <c r="A3" s="7" t="s">
        <v>1179</v>
      </c>
      <c r="B3" s="12"/>
      <c r="C3" s="8" t="s">
        <v>40</v>
      </c>
      <c r="D3" s="8" t="s">
        <v>33</v>
      </c>
      <c r="E3" s="8" t="s">
        <v>104</v>
      </c>
      <c r="F3" s="9" t="n">
        <v>44641</v>
      </c>
      <c r="G3" s="8" t="n">
        <f aca="true">IF(F3="","",ROUND((IF(H3="",TODAY(),H3)-F3)/7,1))</f>
        <v>34.6</v>
      </c>
      <c r="H3" s="9" t="n">
        <v>44883</v>
      </c>
      <c r="I3" s="8" t="s">
        <v>81</v>
      </c>
      <c r="J3" s="8" t="s">
        <v>1180</v>
      </c>
      <c r="K3" s="13" t="str">
        <f aca="false">IFERROR(VLOOKUP(B3,colony!$A:$T,16,FALSE()),"")</f>
        <v/>
      </c>
    </row>
    <row r="4" customFormat="false" ht="15" hidden="false" customHeight="false" outlineLevel="0" collapsed="false">
      <c r="A4" s="7" t="s">
        <v>1181</v>
      </c>
      <c r="B4" s="12"/>
      <c r="C4" s="8" t="s">
        <v>40</v>
      </c>
      <c r="D4" s="8" t="s">
        <v>33</v>
      </c>
      <c r="E4" s="8" t="s">
        <v>104</v>
      </c>
      <c r="F4" s="9" t="n">
        <v>44781</v>
      </c>
      <c r="G4" s="8" t="n">
        <f aca="true">IF(F4="","",ROUND((IF(H4="",TODAY(),H4)-F4)/7,1))</f>
        <v>14.6</v>
      </c>
      <c r="H4" s="9" t="n">
        <v>44883</v>
      </c>
      <c r="I4" s="8" t="s">
        <v>81</v>
      </c>
      <c r="J4" s="8" t="s">
        <v>1182</v>
      </c>
      <c r="K4" s="13" t="str">
        <f aca="false">IFERROR(VLOOKUP(B4,colony!$A:$T,16,FALSE()),"")</f>
        <v/>
      </c>
    </row>
    <row r="5" customFormat="false" ht="15" hidden="false" customHeight="false" outlineLevel="0" collapsed="false">
      <c r="A5" s="7" t="s">
        <v>1183</v>
      </c>
      <c r="B5" s="12"/>
      <c r="C5" s="8" t="s">
        <v>40</v>
      </c>
      <c r="D5" s="8" t="s">
        <v>33</v>
      </c>
      <c r="E5" s="8" t="s">
        <v>104</v>
      </c>
      <c r="F5" s="9" t="n">
        <v>44764</v>
      </c>
      <c r="G5" s="8" t="n">
        <f aca="true">IF(F5="","",ROUND((IF(H5="",TODAY(),H5)-F5)/7,1))</f>
        <v>17.4</v>
      </c>
      <c r="H5" s="9" t="n">
        <v>44886</v>
      </c>
      <c r="I5" s="8" t="s">
        <v>45</v>
      </c>
      <c r="J5" s="8" t="s">
        <v>1184</v>
      </c>
      <c r="K5" s="13" t="str">
        <f aca="false">IFERROR(VLOOKUP(B5,colony!$A:$T,16,FALSE()),"")</f>
        <v/>
      </c>
    </row>
    <row r="6" customFormat="false" ht="15" hidden="false" customHeight="false" outlineLevel="0" collapsed="false">
      <c r="A6" s="7" t="s">
        <v>1185</v>
      </c>
      <c r="B6" s="12"/>
      <c r="C6" s="8" t="s">
        <v>40</v>
      </c>
      <c r="D6" s="8" t="s">
        <v>33</v>
      </c>
      <c r="E6" s="8" t="s">
        <v>104</v>
      </c>
      <c r="F6" s="9" t="n">
        <v>44787</v>
      </c>
      <c r="G6" s="8" t="n">
        <f aca="true">IF(F6="","",ROUND((IF(H6="",TODAY(),H6)-F6)/7,1))</f>
        <v>14.7</v>
      </c>
      <c r="H6" s="9" t="n">
        <v>44890</v>
      </c>
      <c r="I6" s="8" t="s">
        <v>45</v>
      </c>
      <c r="J6" s="8" t="s">
        <v>1186</v>
      </c>
      <c r="K6" s="13" t="str">
        <f aca="false">IFERROR(VLOOKUP(B6,colony!$A:$T,16,FALSE()),"")</f>
        <v/>
      </c>
    </row>
    <row r="7" customFormat="false" ht="15" hidden="false" customHeight="false" outlineLevel="0" collapsed="false">
      <c r="A7" s="7" t="s">
        <v>1187</v>
      </c>
      <c r="B7" s="12"/>
      <c r="C7" s="8" t="s">
        <v>40</v>
      </c>
      <c r="D7" s="8" t="s">
        <v>33</v>
      </c>
      <c r="E7" s="8" t="s">
        <v>104</v>
      </c>
      <c r="F7" s="9" t="n">
        <v>44787</v>
      </c>
      <c r="G7" s="8" t="n">
        <f aca="true">IF(F7="","",ROUND((IF(H7="",TODAY(),H7)-F7)/7,1))</f>
        <v>14.7</v>
      </c>
      <c r="H7" s="9" t="n">
        <v>44890</v>
      </c>
      <c r="I7" s="8" t="s">
        <v>45</v>
      </c>
      <c r="J7" s="8" t="s">
        <v>1188</v>
      </c>
      <c r="K7" s="13" t="str">
        <f aca="false">IFERROR(VLOOKUP(B7,colony!$A:$T,16,FALSE()),"")</f>
        <v/>
      </c>
    </row>
    <row r="8" customFormat="false" ht="15" hidden="false" customHeight="false" outlineLevel="0" collapsed="false">
      <c r="A8" s="7" t="s">
        <v>1189</v>
      </c>
      <c r="B8" s="12"/>
      <c r="C8" s="8" t="s">
        <v>40</v>
      </c>
      <c r="D8" s="8" t="s">
        <v>33</v>
      </c>
      <c r="E8" s="8" t="s">
        <v>114</v>
      </c>
      <c r="F8" s="9" t="n">
        <v>44614</v>
      </c>
      <c r="G8" s="8" t="n">
        <f aca="true">IF(F8="","",ROUND((IF(H8="",TODAY(),H8)-F8)/7,1))</f>
        <v>39.4</v>
      </c>
      <c r="H8" s="9" t="n">
        <v>44890</v>
      </c>
      <c r="I8" s="8" t="s">
        <v>45</v>
      </c>
      <c r="J8" s="8" t="s">
        <v>1190</v>
      </c>
      <c r="K8" s="13" t="str">
        <f aca="false">IFERROR(VLOOKUP(B8,colony!$A:$T,16,FALSE()),"")</f>
        <v/>
      </c>
    </row>
    <row r="9" customFormat="false" ht="15" hidden="false" customHeight="false" outlineLevel="0" collapsed="false">
      <c r="A9" s="7" t="s">
        <v>1191</v>
      </c>
      <c r="B9" s="12"/>
      <c r="C9" s="8" t="s">
        <v>40</v>
      </c>
      <c r="D9" s="8" t="s">
        <v>33</v>
      </c>
      <c r="E9" s="8" t="s">
        <v>114</v>
      </c>
      <c r="F9" s="9" t="n">
        <v>44614</v>
      </c>
      <c r="G9" s="8" t="n">
        <f aca="true">IF(F9="","",ROUND((IF(H9="",TODAY(),H9)-F9)/7,1))</f>
        <v>39.4</v>
      </c>
      <c r="H9" s="9" t="n">
        <v>44890</v>
      </c>
      <c r="I9" s="8" t="s">
        <v>45</v>
      </c>
      <c r="J9" s="8" t="s">
        <v>1192</v>
      </c>
      <c r="K9" s="13" t="str">
        <f aca="false">IFERROR(VLOOKUP(B9,colony!$A:$T,16,FALSE()),"")</f>
        <v/>
      </c>
    </row>
    <row r="10" customFormat="false" ht="15" hidden="false" customHeight="false" outlineLevel="0" collapsed="false">
      <c r="A10" s="7" t="s">
        <v>1193</v>
      </c>
      <c r="B10" s="12"/>
      <c r="C10" s="8" t="s">
        <v>40</v>
      </c>
      <c r="D10" s="8" t="s">
        <v>33</v>
      </c>
      <c r="E10" s="8" t="s">
        <v>104</v>
      </c>
      <c r="F10" s="9" t="n">
        <v>44785</v>
      </c>
      <c r="G10" s="8" t="n">
        <f aca="true">IF(F10="","",ROUND((IF(H10="",TODAY(),H10)-F10)/7,1))</f>
        <v>17.6</v>
      </c>
      <c r="H10" s="9" t="n">
        <v>44908</v>
      </c>
      <c r="I10" s="8" t="s">
        <v>81</v>
      </c>
      <c r="J10" s="8" t="s">
        <v>1194</v>
      </c>
      <c r="K10" s="13" t="str">
        <f aca="false">IFERROR(VLOOKUP(B10,colony!$A:$T,16,FALSE()),"")</f>
        <v/>
      </c>
    </row>
    <row r="11" customFormat="false" ht="15" hidden="false" customHeight="false" outlineLevel="0" collapsed="false">
      <c r="A11" s="7" t="s">
        <v>1195</v>
      </c>
      <c r="B11" s="12"/>
      <c r="C11" s="8" t="s">
        <v>40</v>
      </c>
      <c r="D11" s="8" t="s">
        <v>33</v>
      </c>
      <c r="E11" s="8" t="s">
        <v>114</v>
      </c>
      <c r="F11" s="9" t="n">
        <v>44767</v>
      </c>
      <c r="G11" s="8" t="n">
        <f aca="true">IF(F11="","",ROUND((IF(H11="",TODAY(),H11)-F11)/7,1))</f>
        <v>27.4</v>
      </c>
      <c r="H11" s="9" t="n">
        <v>44959</v>
      </c>
      <c r="I11" s="8" t="s">
        <v>45</v>
      </c>
      <c r="J11" s="8" t="s">
        <v>1196</v>
      </c>
      <c r="K11" s="13" t="str">
        <f aca="false">IFERROR(VLOOKUP(B11,colony!$A:$T,16,FALSE()),"")</f>
        <v/>
      </c>
    </row>
    <row r="12" customFormat="false" ht="15" hidden="false" customHeight="false" outlineLevel="0" collapsed="false">
      <c r="A12" s="7" t="s">
        <v>1197</v>
      </c>
      <c r="B12" s="12"/>
      <c r="C12" s="8" t="s">
        <v>40</v>
      </c>
      <c r="D12" s="8" t="s">
        <v>46</v>
      </c>
      <c r="E12" s="8" t="s">
        <v>104</v>
      </c>
      <c r="F12" s="9" t="n">
        <v>45166</v>
      </c>
      <c r="G12" s="8" t="n">
        <f aca="true">IF(F12="","",ROUND((IF(H12="",TODAY(),H12)-F12)/7,1))</f>
        <v>10</v>
      </c>
      <c r="H12" s="9" t="n">
        <v>45236</v>
      </c>
      <c r="I12" s="8" t="s">
        <v>45</v>
      </c>
      <c r="J12" s="8" t="s">
        <v>1198</v>
      </c>
      <c r="K12" s="13" t="str">
        <f aca="false">IFERROR(VLOOKUP(B12,colony!$A:$T,16,FALSE()),"")</f>
        <v/>
      </c>
    </row>
    <row r="13" customFormat="false" ht="15" hidden="false" customHeight="false" outlineLevel="0" collapsed="false">
      <c r="A13" s="7" t="s">
        <v>1199</v>
      </c>
      <c r="B13" s="12"/>
      <c r="C13" s="8" t="s">
        <v>40</v>
      </c>
      <c r="D13" s="8" t="s">
        <v>46</v>
      </c>
      <c r="E13" s="8" t="s">
        <v>104</v>
      </c>
      <c r="F13" s="9" t="n">
        <v>45166</v>
      </c>
      <c r="G13" s="8" t="n">
        <f aca="true">IF(F13="","",ROUND((IF(H13="",TODAY(),H13)-F13)/7,1))</f>
        <v>10.1</v>
      </c>
      <c r="H13" s="9" t="n">
        <v>45237</v>
      </c>
      <c r="I13" s="8" t="s">
        <v>45</v>
      </c>
      <c r="J13" s="8"/>
      <c r="K13" s="13" t="str">
        <f aca="false">IFERROR(VLOOKUP(B13,colony!$A:$T,16,FALSE()),"")</f>
        <v/>
      </c>
    </row>
    <row r="14" customFormat="false" ht="15" hidden="false" customHeight="false" outlineLevel="0" collapsed="false">
      <c r="A14" s="7" t="s">
        <v>1200</v>
      </c>
      <c r="B14" s="12"/>
      <c r="C14" s="8" t="s">
        <v>40</v>
      </c>
      <c r="D14" s="8" t="s">
        <v>33</v>
      </c>
      <c r="E14" s="8" t="s">
        <v>114</v>
      </c>
      <c r="F14" s="9" t="n">
        <v>44767</v>
      </c>
      <c r="G14" s="8" t="n">
        <f aca="true">IF(F14="","",ROUND((IF(H14="",TODAY(),H14)-F14)/7,1))</f>
        <v>69.4</v>
      </c>
      <c r="H14" s="9" t="n">
        <v>45253</v>
      </c>
      <c r="I14" s="8" t="s">
        <v>45</v>
      </c>
      <c r="J14" s="8"/>
      <c r="K14" s="13" t="str">
        <f aca="false">IFERROR(VLOOKUP(B14,colony!$A:$T,16,FALSE()),"")</f>
        <v/>
      </c>
    </row>
    <row r="15" customFormat="false" ht="15" hidden="false" customHeight="false" outlineLevel="0" collapsed="false">
      <c r="A15" s="7" t="s">
        <v>1201</v>
      </c>
      <c r="B15" s="12"/>
      <c r="C15" s="8" t="s">
        <v>40</v>
      </c>
      <c r="D15" s="8" t="s">
        <v>46</v>
      </c>
      <c r="E15" s="8" t="s">
        <v>104</v>
      </c>
      <c r="F15" s="9" t="n">
        <v>45180</v>
      </c>
      <c r="G15" s="8" t="n">
        <f aca="true">IF(F15="","",ROUND((IF(H15="",TODAY(),H15)-F15)/7,1))</f>
        <v>9</v>
      </c>
      <c r="H15" s="9" t="n">
        <v>45243</v>
      </c>
      <c r="I15" s="8" t="s">
        <v>45</v>
      </c>
      <c r="J15" s="8"/>
      <c r="K15" s="13" t="str">
        <f aca="false">IFERROR(VLOOKUP(B15,colony!$A:$T,16,FALSE()),"")</f>
        <v/>
      </c>
    </row>
    <row r="16" customFormat="false" ht="15" hidden="false" customHeight="false" outlineLevel="0" collapsed="false">
      <c r="A16" s="7" t="s">
        <v>1202</v>
      </c>
      <c r="B16" s="12"/>
      <c r="C16" s="8" t="s">
        <v>40</v>
      </c>
      <c r="D16" s="8" t="s">
        <v>46</v>
      </c>
      <c r="E16" s="8" t="s">
        <v>104</v>
      </c>
      <c r="F16" s="9" t="n">
        <v>45180</v>
      </c>
      <c r="G16" s="8" t="n">
        <f aca="true">IF(F16="","",ROUND((IF(H16="",TODAY(),H16)-F16)/7,1))</f>
        <v>9</v>
      </c>
      <c r="H16" s="9" t="n">
        <v>45243</v>
      </c>
      <c r="I16" s="8" t="s">
        <v>45</v>
      </c>
      <c r="J16" s="8"/>
      <c r="K16" s="13" t="str">
        <f aca="false">IFERROR(VLOOKUP(B16,colony!$A:$T,16,FALSE()),"")</f>
        <v/>
      </c>
    </row>
    <row r="17" customFormat="false" ht="15" hidden="false" customHeight="false" outlineLevel="0" collapsed="false">
      <c r="A17" s="7" t="s">
        <v>1203</v>
      </c>
      <c r="B17" s="12"/>
      <c r="C17" s="8" t="s">
        <v>40</v>
      </c>
      <c r="D17" s="8" t="s">
        <v>46</v>
      </c>
      <c r="E17" s="8" t="s">
        <v>104</v>
      </c>
      <c r="F17" s="9" t="n">
        <v>45180</v>
      </c>
      <c r="G17" s="8" t="n">
        <f aca="true">IF(F17="","",ROUND((IF(H17="",TODAY(),H17)-F17)/7,1))</f>
        <v>9</v>
      </c>
      <c r="H17" s="9" t="n">
        <v>45243</v>
      </c>
      <c r="I17" s="8" t="s">
        <v>45</v>
      </c>
      <c r="J17" s="8"/>
      <c r="K17" s="13" t="str">
        <f aca="false">IFERROR(VLOOKUP(B17,colony!$A:$T,16,FALSE()),"")</f>
        <v/>
      </c>
    </row>
    <row r="18" customFormat="false" ht="15" hidden="false" customHeight="false" outlineLevel="0" collapsed="false">
      <c r="A18" s="7" t="s">
        <v>1204</v>
      </c>
      <c r="B18" s="12"/>
      <c r="C18" s="8" t="s">
        <v>40</v>
      </c>
      <c r="D18" s="8" t="s">
        <v>46</v>
      </c>
      <c r="E18" s="8" t="s">
        <v>104</v>
      </c>
      <c r="F18" s="9" t="n">
        <v>45180</v>
      </c>
      <c r="G18" s="8" t="n">
        <f aca="true">IF(F18="","",ROUND((IF(H18="",TODAY(),H18)-F18)/7,1))</f>
        <v>9.1</v>
      </c>
      <c r="H18" s="9" t="n">
        <v>45244</v>
      </c>
      <c r="I18" s="8" t="s">
        <v>45</v>
      </c>
      <c r="J18" s="8"/>
      <c r="K18" s="13" t="str">
        <f aca="false">IFERROR(VLOOKUP(B18,colony!$A:$T,16,FALSE()),"")</f>
        <v/>
      </c>
    </row>
    <row r="19" customFormat="false" ht="15" hidden="false" customHeight="false" outlineLevel="0" collapsed="false">
      <c r="A19" s="7" t="s">
        <v>1205</v>
      </c>
      <c r="B19" s="12"/>
      <c r="C19" s="8" t="s">
        <v>40</v>
      </c>
      <c r="D19" s="8" t="s">
        <v>46</v>
      </c>
      <c r="E19" s="8" t="s">
        <v>104</v>
      </c>
      <c r="F19" s="9" t="n">
        <v>45180</v>
      </c>
      <c r="G19" s="8" t="n">
        <f aca="true">IF(F19="","",ROUND((IF(H19="",TODAY(),H19)-F19)/7,1))</f>
        <v>9.1</v>
      </c>
      <c r="H19" s="9" t="n">
        <v>45244</v>
      </c>
      <c r="I19" s="8" t="s">
        <v>45</v>
      </c>
      <c r="J19" s="8"/>
      <c r="K19" s="13" t="str">
        <f aca="false">IFERROR(VLOOKUP(B19,colony!$A:$T,16,FALSE()),"")</f>
        <v/>
      </c>
    </row>
    <row r="20" customFormat="false" ht="15" hidden="false" customHeight="false" outlineLevel="0" collapsed="false">
      <c r="A20" s="7" t="s">
        <v>1206</v>
      </c>
      <c r="B20" s="12"/>
      <c r="C20" s="8" t="s">
        <v>40</v>
      </c>
      <c r="D20" s="8" t="s">
        <v>46</v>
      </c>
      <c r="E20" s="8" t="s">
        <v>104</v>
      </c>
      <c r="F20" s="9" t="n">
        <v>45180</v>
      </c>
      <c r="G20" s="8" t="n">
        <f aca="true">IF(F20="","",ROUND((IF(H20="",TODAY(),H20)-F20)/7,1))</f>
        <v>9.4</v>
      </c>
      <c r="H20" s="9" t="n">
        <v>45246</v>
      </c>
      <c r="I20" s="8" t="s">
        <v>45</v>
      </c>
      <c r="J20" s="8"/>
      <c r="K20" s="13" t="str">
        <f aca="false">IFERROR(VLOOKUP(B20,colony!$A:$T,16,FALSE()),"")</f>
        <v/>
      </c>
    </row>
    <row r="21" customFormat="false" ht="15" hidden="false" customHeight="false" outlineLevel="0" collapsed="false">
      <c r="A21" s="7" t="s">
        <v>1207</v>
      </c>
      <c r="B21" s="12"/>
      <c r="C21" s="8" t="s">
        <v>40</v>
      </c>
      <c r="D21" s="8" t="s">
        <v>46</v>
      </c>
      <c r="E21" s="8" t="s">
        <v>104</v>
      </c>
      <c r="F21" s="9" t="n">
        <v>45180</v>
      </c>
      <c r="G21" s="8" t="n">
        <f aca="true">IF(F21="","",ROUND((IF(H21="",TODAY(),H21)-F21)/7,1))</f>
        <v>11.1</v>
      </c>
      <c r="H21" s="9" t="n">
        <v>45258</v>
      </c>
      <c r="I21" s="8" t="s">
        <v>45</v>
      </c>
      <c r="J21" s="8"/>
      <c r="K21" s="13" t="str">
        <f aca="false">IFERROR(VLOOKUP(B21,colony!$A:$T,16,FALSE()),"")</f>
        <v/>
      </c>
    </row>
    <row r="22" customFormat="false" ht="15" hidden="false" customHeight="false" outlineLevel="0" collapsed="false">
      <c r="A22" s="7" t="s">
        <v>1208</v>
      </c>
      <c r="B22" s="12"/>
      <c r="C22" s="8" t="s">
        <v>40</v>
      </c>
      <c r="D22" s="8" t="s">
        <v>33</v>
      </c>
      <c r="E22" s="8" t="s">
        <v>114</v>
      </c>
      <c r="F22" s="9" t="n">
        <v>45200</v>
      </c>
      <c r="G22" s="8" t="n">
        <f aca="true">IF(F22="","",ROUND((IF(H22="",TODAY(),H22)-F22)/7,1))</f>
        <v>10.4</v>
      </c>
      <c r="H22" s="9" t="n">
        <v>45273</v>
      </c>
      <c r="I22" s="8" t="s">
        <v>45</v>
      </c>
      <c r="J22" s="8"/>
      <c r="K22" s="13" t="str">
        <f aca="false">IFERROR(VLOOKUP(B22,colony!$A:$T,16,FALSE()),"")</f>
        <v/>
      </c>
    </row>
    <row r="23" customFormat="false" ht="15" hidden="false" customHeight="false" outlineLevel="0" collapsed="false">
      <c r="A23" s="7" t="s">
        <v>1209</v>
      </c>
      <c r="B23" s="12"/>
      <c r="C23" s="8" t="s">
        <v>40</v>
      </c>
      <c r="D23" s="8" t="s">
        <v>46</v>
      </c>
      <c r="E23" s="8" t="s">
        <v>104</v>
      </c>
      <c r="F23" s="9" t="n">
        <v>45180</v>
      </c>
      <c r="G23" s="8" t="n">
        <f aca="true">IF(F23="","",ROUND((IF(H23="",TODAY(),H23)-F23)/7,1))</f>
        <v>12.6</v>
      </c>
      <c r="H23" s="9" t="n">
        <v>45268</v>
      </c>
      <c r="I23" s="8" t="s">
        <v>45</v>
      </c>
      <c r="J23" s="8"/>
      <c r="K23" s="13" t="str">
        <f aca="false">IFERROR(VLOOKUP(B23,colony!$A:$T,16,FALSE()),"")</f>
        <v/>
      </c>
    </row>
    <row r="24" customFormat="false" ht="15" hidden="false" customHeight="false" outlineLevel="0" collapsed="false">
      <c r="A24" s="7" t="s">
        <v>1210</v>
      </c>
      <c r="B24" s="12"/>
      <c r="C24" s="8" t="s">
        <v>40</v>
      </c>
      <c r="D24" s="8" t="s">
        <v>33</v>
      </c>
      <c r="E24" s="8" t="s">
        <v>114</v>
      </c>
      <c r="F24" s="9" t="n">
        <v>45200</v>
      </c>
      <c r="G24" s="8" t="n">
        <f aca="true">IF(F24="","",ROUND((IF(H24="",TODAY(),H24)-F24)/7,1))</f>
        <v>10.7</v>
      </c>
      <c r="H24" s="9" t="n">
        <v>45275</v>
      </c>
      <c r="I24" s="8" t="s">
        <v>45</v>
      </c>
      <c r="J24" s="8"/>
      <c r="K24" s="13" t="str">
        <f aca="false">IFERROR(VLOOKUP(B24,colony!$A:$T,16,FALSE()),"")</f>
        <v/>
      </c>
    </row>
    <row r="25" customFormat="false" ht="15" hidden="false" customHeight="false" outlineLevel="0" collapsed="false">
      <c r="A25" s="7" t="s">
        <v>1211</v>
      </c>
      <c r="B25" s="12"/>
      <c r="C25" s="8" t="s">
        <v>40</v>
      </c>
      <c r="D25" s="8" t="s">
        <v>46</v>
      </c>
      <c r="E25" s="8" t="s">
        <v>104</v>
      </c>
      <c r="F25" s="9" t="n">
        <v>45180</v>
      </c>
      <c r="G25" s="8" t="n">
        <f aca="true">IF(F25="","",ROUND((IF(H25="",TODAY(),H25)-F25)/7,1))</f>
        <v>14</v>
      </c>
      <c r="H25" s="9" t="n">
        <v>45278</v>
      </c>
      <c r="I25" s="8" t="s">
        <v>45</v>
      </c>
      <c r="J25" s="8"/>
      <c r="K25" s="13" t="str">
        <f aca="false">IFERROR(VLOOKUP(B25,colony!$A:$T,16,FALSE()),"")</f>
        <v/>
      </c>
    </row>
    <row r="26" customFormat="false" ht="15" hidden="false" customHeight="false" outlineLevel="0" collapsed="false">
      <c r="A26" s="7" t="s">
        <v>1212</v>
      </c>
      <c r="B26" s="12"/>
      <c r="C26" s="8" t="s">
        <v>40</v>
      </c>
      <c r="D26" s="8" t="s">
        <v>46</v>
      </c>
      <c r="E26" s="8" t="s">
        <v>104</v>
      </c>
      <c r="F26" s="9" t="n">
        <v>45180</v>
      </c>
      <c r="G26" s="8" t="n">
        <f aca="true">IF(F26="","",ROUND((IF(H26="",TODAY(),H26)-F26)/7,1))</f>
        <v>15.6</v>
      </c>
      <c r="H26" s="9" t="n">
        <v>45289</v>
      </c>
      <c r="I26" s="8" t="s">
        <v>45</v>
      </c>
      <c r="J26" s="8"/>
      <c r="K26" s="13" t="str">
        <f aca="false">IFERROR(VLOOKUP(B26,colony!$A:$T,16,FALSE()),"")</f>
        <v/>
      </c>
    </row>
    <row r="27" customFormat="false" ht="15" hidden="false" customHeight="false" outlineLevel="0" collapsed="false">
      <c r="A27" s="7" t="s">
        <v>1213</v>
      </c>
      <c r="B27" s="12"/>
      <c r="C27" s="8" t="s">
        <v>40</v>
      </c>
      <c r="D27" s="8" t="s">
        <v>33</v>
      </c>
      <c r="E27" s="8" t="s">
        <v>114</v>
      </c>
      <c r="F27" s="9" t="n">
        <v>45200</v>
      </c>
      <c r="G27" s="8" t="n">
        <f aca="true">IF(F27="","",ROUND((IF(H27="",TODAY(),H27)-F27)/7,1))</f>
        <v>14.4</v>
      </c>
      <c r="H27" s="9" t="n">
        <v>45301</v>
      </c>
      <c r="I27" s="8" t="s">
        <v>45</v>
      </c>
      <c r="J27" s="8"/>
      <c r="K27" s="13" t="str">
        <f aca="false">IFERROR(VLOOKUP(B27,colony!$A:$T,16,FALSE()),"")</f>
        <v/>
      </c>
    </row>
    <row r="28" customFormat="false" ht="15" hidden="false" customHeight="false" outlineLevel="0" collapsed="false">
      <c r="A28" s="7" t="s">
        <v>1214</v>
      </c>
      <c r="B28" s="12"/>
      <c r="C28" s="8" t="s">
        <v>40</v>
      </c>
      <c r="D28" s="8" t="s">
        <v>33</v>
      </c>
      <c r="E28" s="8" t="s">
        <v>114</v>
      </c>
      <c r="F28" s="9" t="n">
        <v>45200</v>
      </c>
      <c r="G28" s="8" t="n">
        <f aca="true">IF(F28="","",ROUND((IF(H28="",TODAY(),H28)-F28)/7,1))</f>
        <v>14.6</v>
      </c>
      <c r="H28" s="9" t="n">
        <v>45302</v>
      </c>
      <c r="I28" s="8" t="s">
        <v>45</v>
      </c>
      <c r="J28" s="8"/>
      <c r="K28" s="13" t="str">
        <f aca="false">IFERROR(VLOOKUP(B28,colony!$A:$T,16,FALSE()),"")</f>
        <v/>
      </c>
    </row>
    <row r="29" customFormat="false" ht="15" hidden="false" customHeight="false" outlineLevel="0" collapsed="false">
      <c r="A29" s="7" t="s">
        <v>1215</v>
      </c>
      <c r="B29" s="12"/>
      <c r="C29" s="8" t="s">
        <v>40</v>
      </c>
      <c r="D29" s="8" t="s">
        <v>46</v>
      </c>
      <c r="E29" s="8" t="s">
        <v>114</v>
      </c>
      <c r="F29" s="9" t="n">
        <v>44991</v>
      </c>
      <c r="G29" s="8" t="n">
        <f aca="true">IF(F29="","",ROUND((IF(H29="",TODAY(),H29)-F29)/7,1))</f>
        <v>45.1</v>
      </c>
      <c r="H29" s="9" t="n">
        <v>45307</v>
      </c>
      <c r="I29" s="8" t="s">
        <v>45</v>
      </c>
      <c r="J29" s="8"/>
      <c r="K29" s="13" t="str">
        <f aca="false">IFERROR(VLOOKUP(B29,colony!$A:$T,16,FALSE()),"")</f>
        <v/>
      </c>
    </row>
    <row r="30" customFormat="false" ht="15" hidden="false" customHeight="false" outlineLevel="0" collapsed="false">
      <c r="A30" s="7" t="s">
        <v>1216</v>
      </c>
      <c r="B30" s="12"/>
      <c r="C30" s="8" t="s">
        <v>40</v>
      </c>
      <c r="D30" s="8" t="s">
        <v>33</v>
      </c>
      <c r="E30" s="8" t="s">
        <v>114</v>
      </c>
      <c r="F30" s="9" t="n">
        <v>45200</v>
      </c>
      <c r="G30" s="8" t="n">
        <f aca="true">IF(F30="","",ROUND((IF(H30="",TODAY(),H30)-F30)/7,1))</f>
        <v>15.7</v>
      </c>
      <c r="H30" s="9" t="n">
        <v>45310</v>
      </c>
      <c r="I30" s="8" t="s">
        <v>45</v>
      </c>
      <c r="J30" s="8"/>
      <c r="K30" s="13" t="str">
        <f aca="false">IFERROR(VLOOKUP(B30,colony!$A:$T,16,FALSE()),"")</f>
        <v/>
      </c>
    </row>
    <row r="31" customFormat="false" ht="15" hidden="false" customHeight="false" outlineLevel="0" collapsed="false">
      <c r="A31" s="7" t="s">
        <v>1217</v>
      </c>
      <c r="B31" s="12"/>
      <c r="C31" s="8" t="s">
        <v>40</v>
      </c>
      <c r="D31" s="8" t="s">
        <v>33</v>
      </c>
      <c r="E31" s="8" t="s">
        <v>114</v>
      </c>
      <c r="F31" s="9" t="n">
        <v>45240</v>
      </c>
      <c r="G31" s="8" t="n">
        <f aca="true">IF(F31="","",ROUND((IF(H31="",TODAY(),H31)-F31)/7,1))</f>
        <v>10.6</v>
      </c>
      <c r="H31" s="9" t="n">
        <v>45314</v>
      </c>
      <c r="I31" s="8" t="s">
        <v>45</v>
      </c>
      <c r="J31" s="8" t="s">
        <v>1218</v>
      </c>
      <c r="K31" s="13" t="str">
        <f aca="false">IFERROR(VLOOKUP(B31,colony!$A:$T,16,FALSE()),"")</f>
        <v/>
      </c>
    </row>
    <row r="32" customFormat="false" ht="15" hidden="false" customHeight="false" outlineLevel="0" collapsed="false">
      <c r="A32" s="7" t="s">
        <v>1219</v>
      </c>
      <c r="B32" s="12"/>
      <c r="C32" s="8" t="s">
        <v>40</v>
      </c>
      <c r="D32" s="8" t="s">
        <v>33</v>
      </c>
      <c r="E32" s="8" t="s">
        <v>104</v>
      </c>
      <c r="F32" s="9" t="n">
        <v>45250</v>
      </c>
      <c r="G32" s="8" t="n">
        <f aca="true">IF(F32="","",ROUND((IF(H32="",TODAY(),H32)-F32)/7,1))</f>
        <v>10.1</v>
      </c>
      <c r="H32" s="9" t="n">
        <v>45321</v>
      </c>
      <c r="I32" s="8" t="s">
        <v>45</v>
      </c>
      <c r="J32" s="8"/>
      <c r="K32" s="13" t="str">
        <f aca="false">IFERROR(VLOOKUP(B32,colony!$A:$T,16,FALSE()),"")</f>
        <v/>
      </c>
    </row>
    <row r="33" customFormat="false" ht="15" hidden="false" customHeight="false" outlineLevel="0" collapsed="false">
      <c r="A33" s="7" t="s">
        <v>1220</v>
      </c>
      <c r="B33" s="12"/>
      <c r="C33" s="8" t="s">
        <v>40</v>
      </c>
      <c r="D33" s="8" t="s">
        <v>33</v>
      </c>
      <c r="E33" s="8" t="s">
        <v>104</v>
      </c>
      <c r="F33" s="9" t="n">
        <v>45257</v>
      </c>
      <c r="G33" s="8" t="n">
        <f aca="true">IF(F33="","",ROUND((IF(H33="",TODAY(),H33)-F33)/7,1))</f>
        <v>10.3</v>
      </c>
      <c r="H33" s="9" t="n">
        <v>45329</v>
      </c>
      <c r="I33" s="8" t="s">
        <v>45</v>
      </c>
      <c r="J33" s="8"/>
      <c r="K33" s="13" t="str">
        <f aca="false">IFERROR(VLOOKUP(B33,colony!$A:$T,16,FALSE()),"")</f>
        <v/>
      </c>
    </row>
    <row r="34" customFormat="false" ht="15" hidden="false" customHeight="false" outlineLevel="0" collapsed="false">
      <c r="A34" s="7" t="s">
        <v>1221</v>
      </c>
      <c r="B34" s="12"/>
      <c r="C34" s="8" t="s">
        <v>40</v>
      </c>
      <c r="D34" s="8" t="s">
        <v>33</v>
      </c>
      <c r="E34" s="8" t="s">
        <v>104</v>
      </c>
      <c r="F34" s="9" t="n">
        <v>45257</v>
      </c>
      <c r="G34" s="8" t="n">
        <f aca="true">IF(F34="","",ROUND((IF(H34="",TODAY(),H34)-F34)/7,1))</f>
        <v>10.3</v>
      </c>
      <c r="H34" s="9" t="n">
        <v>45329</v>
      </c>
      <c r="I34" s="8" t="s">
        <v>45</v>
      </c>
      <c r="J34" s="8"/>
      <c r="K34" s="13" t="str">
        <f aca="false">IFERROR(VLOOKUP(B34,colony!$A:$T,16,FALSE()),"")</f>
        <v/>
      </c>
    </row>
    <row r="35" customFormat="false" ht="15" hidden="false" customHeight="false" outlineLevel="0" collapsed="false">
      <c r="A35" s="7" t="s">
        <v>1222</v>
      </c>
      <c r="B35" s="12"/>
      <c r="C35" s="8" t="s">
        <v>40</v>
      </c>
      <c r="D35" s="8" t="s">
        <v>33</v>
      </c>
      <c r="E35" s="8" t="s">
        <v>104</v>
      </c>
      <c r="F35" s="9" t="n">
        <v>45257</v>
      </c>
      <c r="G35" s="8" t="n">
        <f aca="true">IF(F35="","",ROUND((IF(H35="",TODAY(),H35)-F35)/7,1))</f>
        <v>10.3</v>
      </c>
      <c r="H35" s="9" t="n">
        <v>45329</v>
      </c>
      <c r="I35" s="8" t="s">
        <v>45</v>
      </c>
      <c r="J35" s="8"/>
      <c r="K35" s="13" t="str">
        <f aca="false">IFERROR(VLOOKUP(B35,colony!$A:$T,16,FALSE()),"")</f>
        <v/>
      </c>
    </row>
    <row r="36" customFormat="false" ht="15" hidden="false" customHeight="false" outlineLevel="0" collapsed="false">
      <c r="A36" s="7" t="s">
        <v>1223</v>
      </c>
      <c r="B36" s="12"/>
      <c r="C36" s="8" t="s">
        <v>40</v>
      </c>
      <c r="D36" s="8" t="s">
        <v>33</v>
      </c>
      <c r="E36" s="8" t="s">
        <v>104</v>
      </c>
      <c r="F36" s="9" t="n">
        <v>45257</v>
      </c>
      <c r="G36" s="8" t="n">
        <f aca="true">IF(F36="","",ROUND((IF(H36="",TODAY(),H36)-F36)/7,1))</f>
        <v>10.3</v>
      </c>
      <c r="H36" s="9" t="n">
        <v>45329</v>
      </c>
      <c r="I36" s="8" t="s">
        <v>45</v>
      </c>
      <c r="J36" s="8"/>
      <c r="K36" s="13" t="str">
        <f aca="false">IFERROR(VLOOKUP(B36,colony!$A:$T,16,FALSE()),"")</f>
        <v/>
      </c>
    </row>
    <row r="37" customFormat="false" ht="15" hidden="false" customHeight="false" outlineLevel="0" collapsed="false">
      <c r="A37" s="7" t="s">
        <v>1224</v>
      </c>
      <c r="B37" s="12"/>
      <c r="C37" s="8" t="s">
        <v>40</v>
      </c>
      <c r="D37" s="8" t="s">
        <v>33</v>
      </c>
      <c r="E37" s="8" t="s">
        <v>104</v>
      </c>
      <c r="F37" s="9" t="n">
        <v>45257</v>
      </c>
      <c r="G37" s="8" t="n">
        <f aca="true">IF(F37="","",ROUND((IF(H37="",TODAY(),H37)-F37)/7,1))</f>
        <v>10.4</v>
      </c>
      <c r="H37" s="9" t="n">
        <v>45330</v>
      </c>
      <c r="I37" s="8" t="s">
        <v>45</v>
      </c>
      <c r="J37" s="8"/>
      <c r="K37" s="13" t="str">
        <f aca="false">IFERROR(VLOOKUP(B37,colony!$A:$T,16,FALSE()),"")</f>
        <v/>
      </c>
    </row>
    <row r="38" customFormat="false" ht="15" hidden="false" customHeight="false" outlineLevel="0" collapsed="false">
      <c r="A38" s="7" t="s">
        <v>1225</v>
      </c>
      <c r="B38" s="12"/>
      <c r="C38" s="8" t="s">
        <v>40</v>
      </c>
      <c r="D38" s="8" t="s">
        <v>33</v>
      </c>
      <c r="E38" s="8" t="s">
        <v>104</v>
      </c>
      <c r="F38" s="9" t="n">
        <v>45257</v>
      </c>
      <c r="G38" s="8" t="n">
        <f aca="true">IF(F38="","",ROUND((IF(H38="",TODAY(),H38)-F38)/7,1))</f>
        <v>10.4</v>
      </c>
      <c r="H38" s="9" t="n">
        <v>45330</v>
      </c>
      <c r="I38" s="8" t="s">
        <v>45</v>
      </c>
      <c r="J38" s="8"/>
      <c r="K38" s="13" t="str">
        <f aca="false">IFERROR(VLOOKUP(B38,colony!$A:$T,16,FALSE()),"")</f>
        <v/>
      </c>
    </row>
    <row r="39" customFormat="false" ht="15" hidden="false" customHeight="false" outlineLevel="0" collapsed="false">
      <c r="A39" s="7" t="s">
        <v>1226</v>
      </c>
      <c r="B39" s="12"/>
      <c r="C39" s="8" t="s">
        <v>40</v>
      </c>
      <c r="D39" s="8" t="s">
        <v>33</v>
      </c>
      <c r="E39" s="8" t="s">
        <v>104</v>
      </c>
      <c r="F39" s="9" t="n">
        <v>45257</v>
      </c>
      <c r="G39" s="8" t="n">
        <f aca="true">IF(F39="","",ROUND((IF(H39="",TODAY(),H39)-F39)/7,1))</f>
        <v>10.4</v>
      </c>
      <c r="H39" s="9" t="n">
        <v>45330</v>
      </c>
      <c r="I39" s="8" t="s">
        <v>45</v>
      </c>
      <c r="J39" s="8"/>
      <c r="K39" s="13" t="str">
        <f aca="false">IFERROR(VLOOKUP(B39,colony!$A:$T,16,FALSE()),"")</f>
        <v/>
      </c>
    </row>
    <row r="40" customFormat="false" ht="15" hidden="false" customHeight="false" outlineLevel="0" collapsed="false">
      <c r="A40" s="7" t="s">
        <v>1227</v>
      </c>
      <c r="B40" s="12"/>
      <c r="C40" s="8" t="s">
        <v>40</v>
      </c>
      <c r="D40" s="8" t="s">
        <v>33</v>
      </c>
      <c r="E40" s="8" t="s">
        <v>104</v>
      </c>
      <c r="F40" s="9" t="n">
        <v>45257</v>
      </c>
      <c r="G40" s="8" t="n">
        <f aca="true">IF(F40="","",ROUND((IF(H40="",TODAY(),H40)-F40)/7,1))</f>
        <v>12</v>
      </c>
      <c r="H40" s="9" t="n">
        <v>45341</v>
      </c>
      <c r="I40" s="8" t="s">
        <v>45</v>
      </c>
      <c r="J40" s="8"/>
      <c r="K40" s="13" t="str">
        <f aca="false">IFERROR(VLOOKUP(B40,colony!$A:$T,16,FALSE()),"")</f>
        <v/>
      </c>
    </row>
    <row r="41" customFormat="false" ht="15" hidden="false" customHeight="false" outlineLevel="0" collapsed="false">
      <c r="A41" s="7" t="s">
        <v>1228</v>
      </c>
      <c r="B41" s="12"/>
      <c r="C41" s="8" t="s">
        <v>40</v>
      </c>
      <c r="D41" s="8" t="s">
        <v>33</v>
      </c>
      <c r="E41" s="8" t="s">
        <v>104</v>
      </c>
      <c r="F41" s="9" t="n">
        <v>45250</v>
      </c>
      <c r="G41" s="8" t="n">
        <f aca="true">IF(F41="","",ROUND((IF(H41="",TODAY(),H41)-F41)/7,1))</f>
        <v>13</v>
      </c>
      <c r="H41" s="9" t="n">
        <v>45341</v>
      </c>
      <c r="I41" s="8" t="s">
        <v>45</v>
      </c>
      <c r="J41" s="8"/>
      <c r="K41" s="13" t="str">
        <f aca="false">IFERROR(VLOOKUP(B41,colony!$A:$T,16,FALSE()),"")</f>
        <v/>
      </c>
    </row>
    <row r="42" customFormat="false" ht="15" hidden="false" customHeight="false" outlineLevel="0" collapsed="false">
      <c r="A42" s="7" t="s">
        <v>1229</v>
      </c>
      <c r="B42" s="12"/>
      <c r="C42" s="8" t="s">
        <v>40</v>
      </c>
      <c r="D42" s="8" t="s">
        <v>33</v>
      </c>
      <c r="E42" s="8" t="s">
        <v>104</v>
      </c>
      <c r="F42" s="9" t="n">
        <v>45250</v>
      </c>
      <c r="G42" s="8" t="n">
        <f aca="true">IF(F42="","",ROUND((IF(H42="",TODAY(),H42)-F42)/7,1))</f>
        <v>13</v>
      </c>
      <c r="H42" s="9" t="n">
        <v>45341</v>
      </c>
      <c r="I42" s="8" t="s">
        <v>45</v>
      </c>
      <c r="J42" s="8"/>
      <c r="K42" s="13" t="str">
        <f aca="false">IFERROR(VLOOKUP(B42,colony!$A:$T,16,FALSE()),"")</f>
        <v/>
      </c>
    </row>
    <row r="43" customFormat="false" ht="15" hidden="false" customHeight="false" outlineLevel="0" collapsed="false">
      <c r="A43" s="7" t="s">
        <v>1230</v>
      </c>
      <c r="B43" s="12"/>
      <c r="C43" s="8" t="s">
        <v>40</v>
      </c>
      <c r="D43" s="8" t="s">
        <v>33</v>
      </c>
      <c r="E43" s="8" t="s">
        <v>104</v>
      </c>
      <c r="F43" s="9" t="n">
        <v>45250</v>
      </c>
      <c r="G43" s="8" t="n">
        <f aca="true">IF(F43="","",ROUND((IF(H43="",TODAY(),H43)-F43)/7,1))</f>
        <v>13</v>
      </c>
      <c r="H43" s="9" t="n">
        <v>45341</v>
      </c>
      <c r="I43" s="8" t="s">
        <v>45</v>
      </c>
      <c r="J43" s="8"/>
      <c r="K43" s="13" t="str">
        <f aca="false">IFERROR(VLOOKUP(B43,colony!$A:$T,16,FALSE()),"")</f>
        <v/>
      </c>
    </row>
    <row r="44" customFormat="false" ht="15" hidden="false" customHeight="false" outlineLevel="0" collapsed="false">
      <c r="A44" s="7" t="s">
        <v>1231</v>
      </c>
      <c r="B44" s="12"/>
      <c r="C44" s="8" t="s">
        <v>40</v>
      </c>
      <c r="D44" s="8" t="s">
        <v>33</v>
      </c>
      <c r="E44" s="8" t="s">
        <v>114</v>
      </c>
      <c r="F44" s="9" t="n">
        <v>44991</v>
      </c>
      <c r="G44" s="8" t="n">
        <f aca="true">IF(F44="","",ROUND((IF(H44="",TODAY(),H44)-F44)/7,1))</f>
        <v>51.4</v>
      </c>
      <c r="H44" s="9" t="n">
        <v>45351</v>
      </c>
      <c r="I44" s="8" t="s">
        <v>45</v>
      </c>
      <c r="J44" s="8" t="s">
        <v>691</v>
      </c>
      <c r="K44" s="13" t="str">
        <f aca="false">IFERROR(VLOOKUP(B44,colony!$A:$T,16,FALSE()),"")</f>
        <v/>
      </c>
    </row>
    <row r="45" customFormat="false" ht="15" hidden="false" customHeight="false" outlineLevel="0" collapsed="false">
      <c r="A45" s="7" t="s">
        <v>1232</v>
      </c>
      <c r="B45" s="12"/>
      <c r="C45" s="8" t="s">
        <v>40</v>
      </c>
      <c r="D45" s="8" t="s">
        <v>33</v>
      </c>
      <c r="E45" s="8" t="s">
        <v>104</v>
      </c>
      <c r="F45" s="9" t="n">
        <v>45299</v>
      </c>
      <c r="G45" s="8" t="n">
        <f aca="true">IF(F45="","",ROUND((IF(H45="",TODAY(),H45)-F45)/7,1))</f>
        <v>7.4</v>
      </c>
      <c r="H45" s="9" t="n">
        <v>45351</v>
      </c>
      <c r="I45" s="8" t="s">
        <v>45</v>
      </c>
      <c r="J45" s="8"/>
      <c r="K45" s="13" t="str">
        <f aca="false">IFERROR(VLOOKUP(B45,colony!$A:$T,16,FALSE()),"")</f>
        <v/>
      </c>
    </row>
    <row r="46" customFormat="false" ht="15" hidden="false" customHeight="false" outlineLevel="0" collapsed="false">
      <c r="A46" s="7" t="s">
        <v>1233</v>
      </c>
      <c r="B46" s="12"/>
      <c r="C46" s="8" t="s">
        <v>40</v>
      </c>
      <c r="D46" s="8" t="s">
        <v>33</v>
      </c>
      <c r="E46" s="8" t="s">
        <v>114</v>
      </c>
      <c r="F46" s="9" t="n">
        <v>45287</v>
      </c>
      <c r="G46" s="8" t="n">
        <f aca="true">IF(F46="","",ROUND((IF(H46="",TODAY(),H46)-F46)/7,1))</f>
        <v>9.9</v>
      </c>
      <c r="H46" s="9" t="n">
        <v>45356</v>
      </c>
      <c r="I46" s="8" t="s">
        <v>45</v>
      </c>
      <c r="J46" s="8" t="s">
        <v>713</v>
      </c>
      <c r="K46" s="13" t="str">
        <f aca="false">IFERROR(VLOOKUP(B46,colony!$A:$T,16,FALSE()),"")</f>
        <v/>
      </c>
    </row>
    <row r="47" customFormat="false" ht="15" hidden="false" customHeight="false" outlineLevel="0" collapsed="false">
      <c r="A47" s="7" t="s">
        <v>1234</v>
      </c>
      <c r="B47" s="12"/>
      <c r="C47" s="8" t="s">
        <v>40</v>
      </c>
      <c r="D47" s="8" t="s">
        <v>33</v>
      </c>
      <c r="E47" s="8" t="s">
        <v>104</v>
      </c>
      <c r="F47" s="9" t="n">
        <v>45299</v>
      </c>
      <c r="G47" s="8" t="n">
        <f aca="true">IF(F47="","",ROUND((IF(H47="",TODAY(),H47)-F47)/7,1))</f>
        <v>8.3</v>
      </c>
      <c r="H47" s="9" t="n">
        <v>45357</v>
      </c>
      <c r="I47" s="8" t="s">
        <v>45</v>
      </c>
      <c r="J47" s="8"/>
      <c r="K47" s="13" t="str">
        <f aca="false">IFERROR(VLOOKUP(B47,colony!$A:$T,16,FALSE()),"")</f>
        <v/>
      </c>
    </row>
    <row r="48" customFormat="false" ht="15" hidden="false" customHeight="false" outlineLevel="0" collapsed="false">
      <c r="A48" s="7" t="s">
        <v>1235</v>
      </c>
      <c r="B48" s="12"/>
      <c r="C48" s="8" t="s">
        <v>40</v>
      </c>
      <c r="D48" s="8" t="s">
        <v>33</v>
      </c>
      <c r="E48" s="8" t="s">
        <v>104</v>
      </c>
      <c r="F48" s="9" t="n">
        <v>45299</v>
      </c>
      <c r="G48" s="8" t="n">
        <f aca="true">IF(F48="","",ROUND((IF(H48="",TODAY(),H48)-F48)/7,1))</f>
        <v>8.3</v>
      </c>
      <c r="H48" s="9" t="n">
        <v>45357</v>
      </c>
      <c r="I48" s="8" t="s">
        <v>45</v>
      </c>
      <c r="J48" s="8"/>
      <c r="K48" s="13" t="str">
        <f aca="false">IFERROR(VLOOKUP(B48,colony!$A:$T,16,FALSE()),"")</f>
        <v/>
      </c>
    </row>
    <row r="49" customFormat="false" ht="15" hidden="false" customHeight="false" outlineLevel="0" collapsed="false">
      <c r="A49" s="7" t="s">
        <v>1236</v>
      </c>
      <c r="B49" s="12"/>
      <c r="C49" s="8" t="s">
        <v>40</v>
      </c>
      <c r="D49" s="8" t="s">
        <v>33</v>
      </c>
      <c r="E49" s="8" t="s">
        <v>104</v>
      </c>
      <c r="F49" s="9" t="n">
        <v>45299</v>
      </c>
      <c r="G49" s="8" t="n">
        <f aca="true">IF(F49="","",ROUND((IF(H49="",TODAY(),H49)-F49)/7,1))</f>
        <v>8.4</v>
      </c>
      <c r="H49" s="9" t="n">
        <v>45358</v>
      </c>
      <c r="I49" s="8" t="s">
        <v>45</v>
      </c>
      <c r="J49" s="8"/>
      <c r="K49" s="13" t="str">
        <f aca="false">IFERROR(VLOOKUP(B49,colony!$A:$T,16,FALSE()),"")</f>
        <v/>
      </c>
    </row>
    <row r="50" customFormat="false" ht="15" hidden="false" customHeight="false" outlineLevel="0" collapsed="false">
      <c r="A50" s="7" t="s">
        <v>1237</v>
      </c>
      <c r="B50" s="12"/>
      <c r="C50" s="8" t="s">
        <v>40</v>
      </c>
      <c r="D50" s="8" t="s">
        <v>33</v>
      </c>
      <c r="E50" s="8" t="s">
        <v>114</v>
      </c>
      <c r="F50" s="9" t="n">
        <v>45287</v>
      </c>
      <c r="G50" s="8" t="n">
        <f aca="true">IF(F50="","",ROUND((IF(H50="",TODAY(),H50)-F50)/7,1))</f>
        <v>10.1</v>
      </c>
      <c r="H50" s="9" t="n">
        <v>45358</v>
      </c>
      <c r="I50" s="8" t="s">
        <v>45</v>
      </c>
      <c r="J50" s="8" t="s">
        <v>1238</v>
      </c>
      <c r="K50" s="13" t="str">
        <f aca="false">IFERROR(VLOOKUP(B50,colony!$A:$T,16,FALSE()),"")</f>
        <v/>
      </c>
    </row>
    <row r="51" customFormat="false" ht="15" hidden="false" customHeight="false" outlineLevel="0" collapsed="false">
      <c r="A51" s="7" t="s">
        <v>1239</v>
      </c>
      <c r="B51" s="12"/>
      <c r="C51" s="8" t="s">
        <v>40</v>
      </c>
      <c r="D51" s="8" t="s">
        <v>33</v>
      </c>
      <c r="E51" s="8" t="s">
        <v>114</v>
      </c>
      <c r="F51" s="9" t="n">
        <v>45293</v>
      </c>
      <c r="G51" s="8" t="n">
        <f aca="true">IF(F51="","",ROUND((IF(H51="",TODAY(),H51)-F51)/7,1))</f>
        <v>9.4</v>
      </c>
      <c r="H51" s="9" t="n">
        <v>45359</v>
      </c>
      <c r="I51" s="8" t="s">
        <v>45</v>
      </c>
      <c r="J51" s="8" t="s">
        <v>1240</v>
      </c>
      <c r="K51" s="13" t="str">
        <f aca="false">IFERROR(VLOOKUP(B51,colony!$A:$T,16,FALSE()),"")</f>
        <v/>
      </c>
    </row>
    <row r="52" customFormat="false" ht="15" hidden="false" customHeight="false" outlineLevel="0" collapsed="false">
      <c r="A52" s="7" t="s">
        <v>1241</v>
      </c>
      <c r="B52" s="12"/>
      <c r="C52" s="8" t="s">
        <v>40</v>
      </c>
      <c r="D52" s="8" t="s">
        <v>33</v>
      </c>
      <c r="E52" s="8" t="s">
        <v>114</v>
      </c>
      <c r="F52" s="9" t="n">
        <v>45287</v>
      </c>
      <c r="G52" s="8" t="n">
        <f aca="true">IF(F52="","",ROUND((IF(H52="",TODAY(),H52)-F52)/7,1))</f>
        <v>11.3</v>
      </c>
      <c r="H52" s="9" t="n">
        <v>45366</v>
      </c>
      <c r="I52" s="8" t="s">
        <v>45</v>
      </c>
      <c r="J52" s="8" t="s">
        <v>1242</v>
      </c>
      <c r="K52" s="13" t="str">
        <f aca="false">IFERROR(VLOOKUP(B52,colony!$A:$T,16,FALSE()),"")</f>
        <v/>
      </c>
    </row>
    <row r="53" customFormat="false" ht="15" hidden="false" customHeight="false" outlineLevel="0" collapsed="false">
      <c r="A53" s="7" t="s">
        <v>1243</v>
      </c>
      <c r="B53" s="12"/>
      <c r="C53" s="8" t="s">
        <v>40</v>
      </c>
      <c r="D53" s="8" t="s">
        <v>46</v>
      </c>
      <c r="E53" s="8" t="s">
        <v>114</v>
      </c>
      <c r="F53" s="9" t="n">
        <v>45293</v>
      </c>
      <c r="G53" s="8" t="n">
        <f aca="true">IF(F53="","",ROUND((IF(H53="",TODAY(),H53)-F53)/7,1))</f>
        <v>11</v>
      </c>
      <c r="H53" s="9" t="n">
        <v>45370</v>
      </c>
      <c r="I53" s="8" t="s">
        <v>45</v>
      </c>
      <c r="J53" s="8" t="s">
        <v>1244</v>
      </c>
      <c r="K53" s="13" t="str">
        <f aca="false">IFERROR(VLOOKUP(B53,colony!$A:$T,16,FALSE()),"")</f>
        <v/>
      </c>
    </row>
    <row r="54" customFormat="false" ht="15" hidden="false" customHeight="false" outlineLevel="0" collapsed="false">
      <c r="A54" s="7" t="s">
        <v>1245</v>
      </c>
      <c r="B54" s="12"/>
      <c r="C54" s="8" t="s">
        <v>40</v>
      </c>
      <c r="D54" s="8" t="s">
        <v>33</v>
      </c>
      <c r="E54" s="8" t="s">
        <v>104</v>
      </c>
      <c r="F54" s="9" t="n">
        <v>45313</v>
      </c>
      <c r="G54" s="8" t="n">
        <f aca="true">IF(F54="","",ROUND((IF(H54="",TODAY(),H54)-F54)/7,1))</f>
        <v>10</v>
      </c>
      <c r="H54" s="9" t="n">
        <v>45383</v>
      </c>
      <c r="I54" s="8" t="s">
        <v>45</v>
      </c>
      <c r="J54" s="8"/>
      <c r="K54" s="13" t="str">
        <f aca="false">IFERROR(VLOOKUP(B54,colony!$A:$T,16,FALSE()),"")</f>
        <v/>
      </c>
    </row>
    <row r="55" customFormat="false" ht="15" hidden="false" customHeight="false" outlineLevel="0" collapsed="false">
      <c r="A55" s="7" t="s">
        <v>1246</v>
      </c>
      <c r="B55" s="12"/>
      <c r="C55" s="8" t="s">
        <v>40</v>
      </c>
      <c r="D55" s="8" t="s">
        <v>33</v>
      </c>
      <c r="E55" s="8" t="s">
        <v>104</v>
      </c>
      <c r="F55" s="9" t="n">
        <v>45313</v>
      </c>
      <c r="G55" s="8" t="n">
        <f aca="true">IF(F55="","",ROUND((IF(H55="",TODAY(),H55)-F55)/7,1))</f>
        <v>12.4</v>
      </c>
      <c r="H55" s="9" t="n">
        <v>45400</v>
      </c>
      <c r="I55" s="8" t="s">
        <v>45</v>
      </c>
      <c r="J55" s="8"/>
      <c r="K55" s="13" t="str">
        <f aca="false">IFERROR(VLOOKUP(B55,colony!$A:$T,16,FALSE()),"")</f>
        <v/>
      </c>
    </row>
    <row r="56" customFormat="false" ht="15" hidden="false" customHeight="false" outlineLevel="0" collapsed="false">
      <c r="A56" s="7" t="s">
        <v>1247</v>
      </c>
      <c r="B56" s="12"/>
      <c r="C56" s="8" t="s">
        <v>40</v>
      </c>
      <c r="D56" s="8" t="s">
        <v>33</v>
      </c>
      <c r="E56" s="8" t="s">
        <v>104</v>
      </c>
      <c r="F56" s="9" t="n">
        <v>45313</v>
      </c>
      <c r="G56" s="8" t="n">
        <f aca="true">IF(F56="","",ROUND((IF(H56="",TODAY(),H56)-F56)/7,1))</f>
        <v>10.3</v>
      </c>
      <c r="H56" s="9" t="n">
        <v>45385</v>
      </c>
      <c r="I56" s="8" t="s">
        <v>45</v>
      </c>
      <c r="J56" s="8"/>
      <c r="K56" s="13" t="str">
        <f aca="false">IFERROR(VLOOKUP(B56,colony!$A:$T,16,FALSE()),"")</f>
        <v/>
      </c>
    </row>
    <row r="57" customFormat="false" ht="15" hidden="false" customHeight="false" outlineLevel="0" collapsed="false">
      <c r="A57" s="7" t="s">
        <v>1248</v>
      </c>
      <c r="B57" s="12"/>
      <c r="C57" s="8" t="s">
        <v>40</v>
      </c>
      <c r="D57" s="8" t="s">
        <v>33</v>
      </c>
      <c r="E57" s="8" t="s">
        <v>104</v>
      </c>
      <c r="F57" s="9" t="n">
        <v>45313</v>
      </c>
      <c r="G57" s="8" t="n">
        <f aca="true">IF(F57="","",ROUND((IF(H57="",TODAY(),H57)-F57)/7,1))</f>
        <v>12</v>
      </c>
      <c r="H57" s="9" t="n">
        <v>45397</v>
      </c>
      <c r="I57" s="8" t="s">
        <v>45</v>
      </c>
      <c r="J57" s="8"/>
      <c r="K57" s="13" t="str">
        <f aca="false">IFERROR(VLOOKUP(B57,colony!$A:$T,16,FALSE()),"")</f>
        <v/>
      </c>
    </row>
    <row r="58" customFormat="false" ht="15" hidden="false" customHeight="false" outlineLevel="0" collapsed="false">
      <c r="A58" s="7" t="s">
        <v>1249</v>
      </c>
      <c r="B58" s="12"/>
      <c r="C58" s="8" t="s">
        <v>40</v>
      </c>
      <c r="D58" s="8" t="s">
        <v>33</v>
      </c>
      <c r="E58" s="8" t="s">
        <v>104</v>
      </c>
      <c r="F58" s="9" t="n">
        <v>45313</v>
      </c>
      <c r="G58" s="8" t="n">
        <f aca="true">IF(F58="","",ROUND((IF(H58="",TODAY(),H58)-F58)/7,1))</f>
        <v>12</v>
      </c>
      <c r="H58" s="9" t="n">
        <v>45397</v>
      </c>
      <c r="I58" s="8" t="s">
        <v>45</v>
      </c>
      <c r="J58" s="8"/>
      <c r="K58" s="13" t="str">
        <f aca="false">IFERROR(VLOOKUP(B58,colony!$A:$T,16,FALSE()),"")</f>
        <v/>
      </c>
    </row>
    <row r="59" customFormat="false" ht="15" hidden="false" customHeight="false" outlineLevel="0" collapsed="false">
      <c r="A59" s="7" t="s">
        <v>1250</v>
      </c>
      <c r="B59" s="12"/>
      <c r="C59" s="8" t="s">
        <v>40</v>
      </c>
      <c r="D59" s="8" t="s">
        <v>46</v>
      </c>
      <c r="E59" s="8" t="s">
        <v>104</v>
      </c>
      <c r="F59" s="9" t="n">
        <v>45313</v>
      </c>
      <c r="G59" s="8" t="n">
        <f aca="true">IF(F59="","",ROUND((IF(H59="",TODAY(),H59)-F59)/7,1))</f>
        <v>11.4</v>
      </c>
      <c r="H59" s="9" t="n">
        <v>45393</v>
      </c>
      <c r="I59" s="8" t="s">
        <v>45</v>
      </c>
      <c r="J59" s="8"/>
      <c r="K59" s="13" t="str">
        <f aca="false">IFERROR(VLOOKUP(B59,colony!$A:$T,16,FALSE()),"")</f>
        <v/>
      </c>
    </row>
    <row r="60" customFormat="false" ht="15" hidden="false" customHeight="false" outlineLevel="0" collapsed="false">
      <c r="A60" s="7" t="s">
        <v>1251</v>
      </c>
      <c r="B60" s="12"/>
      <c r="C60" s="8" t="s">
        <v>40</v>
      </c>
      <c r="D60" s="8" t="s">
        <v>33</v>
      </c>
      <c r="E60" s="8" t="s">
        <v>104</v>
      </c>
      <c r="F60" s="9" t="n">
        <v>45313</v>
      </c>
      <c r="G60" s="8" t="n">
        <f aca="true">IF(F60="","",ROUND((IF(H60="",TODAY(),H60)-F60)/7,1))</f>
        <v>12.1</v>
      </c>
      <c r="H60" s="9" t="n">
        <v>45398</v>
      </c>
      <c r="I60" s="8" t="s">
        <v>45</v>
      </c>
      <c r="J60" s="8"/>
      <c r="K60" s="13" t="str">
        <f aca="false">IFERROR(VLOOKUP(B60,colony!$A:$T,16,FALSE()),"")</f>
        <v/>
      </c>
    </row>
    <row r="61" customFormat="false" ht="15" hidden="false" customHeight="false" outlineLevel="0" collapsed="false">
      <c r="A61" s="7" t="s">
        <v>1252</v>
      </c>
      <c r="B61" s="12"/>
      <c r="C61" s="8" t="s">
        <v>40</v>
      </c>
      <c r="D61" s="8" t="s">
        <v>46</v>
      </c>
      <c r="E61" s="8" t="s">
        <v>104</v>
      </c>
      <c r="F61" s="9" t="n">
        <v>45313</v>
      </c>
      <c r="G61" s="8" t="n">
        <f aca="true">IF(F61="","",ROUND((IF(H61="",TODAY(),H61)-F61)/7,1))</f>
        <v>12.4</v>
      </c>
      <c r="H61" s="9" t="n">
        <v>45400</v>
      </c>
      <c r="I61" s="8" t="s">
        <v>45</v>
      </c>
      <c r="J61" s="8"/>
      <c r="K61" s="13" t="str">
        <f aca="false">IFERROR(VLOOKUP(B61,colony!$A:$T,16,FALSE()),"")</f>
        <v/>
      </c>
    </row>
    <row r="62" customFormat="false" ht="15" hidden="false" customHeight="false" outlineLevel="0" collapsed="false">
      <c r="A62" s="7" t="s">
        <v>1253</v>
      </c>
      <c r="B62" s="12"/>
      <c r="C62" s="8" t="s">
        <v>40</v>
      </c>
      <c r="D62" s="8" t="s">
        <v>33</v>
      </c>
      <c r="E62" s="8" t="s">
        <v>114</v>
      </c>
      <c r="F62" s="9" t="n">
        <v>45336</v>
      </c>
      <c r="G62" s="8" t="n">
        <f aca="true">IF(F62="","",ROUND((IF(H62="",TODAY(),H62)-F62)/7,1))</f>
        <v>9.1</v>
      </c>
      <c r="H62" s="9" t="n">
        <v>45400</v>
      </c>
      <c r="I62" s="8" t="s">
        <v>45</v>
      </c>
      <c r="J62" s="8" t="s">
        <v>1254</v>
      </c>
      <c r="K62" s="13" t="str">
        <f aca="false">IFERROR(VLOOKUP(B62,colony!$A:$T,16,FALSE()),"")</f>
        <v/>
      </c>
    </row>
    <row r="63" customFormat="false" ht="15" hidden="false" customHeight="false" outlineLevel="0" collapsed="false">
      <c r="A63" s="7" t="s">
        <v>1255</v>
      </c>
      <c r="B63" s="12"/>
      <c r="C63" s="8" t="s">
        <v>40</v>
      </c>
      <c r="D63" s="8" t="s">
        <v>33</v>
      </c>
      <c r="E63" s="8" t="s">
        <v>114</v>
      </c>
      <c r="F63" s="9" t="n">
        <v>45336</v>
      </c>
      <c r="G63" s="8" t="n">
        <f aca="true">IF(F63="","",ROUND((IF(H63="",TODAY(),H63)-F63)/7,1))</f>
        <v>10.1</v>
      </c>
      <c r="H63" s="9" t="n">
        <v>45407</v>
      </c>
      <c r="I63" s="8" t="s">
        <v>45</v>
      </c>
      <c r="J63" s="8" t="s">
        <v>1256</v>
      </c>
      <c r="K63" s="13" t="str">
        <f aca="false">IFERROR(VLOOKUP(B63,colony!$A:$T,16,FALSE()),"")</f>
        <v/>
      </c>
    </row>
    <row r="64" customFormat="false" ht="15" hidden="false" customHeight="false" outlineLevel="0" collapsed="false">
      <c r="A64" s="7" t="s">
        <v>1257</v>
      </c>
      <c r="B64" s="12"/>
      <c r="C64" s="8" t="s">
        <v>40</v>
      </c>
      <c r="D64" s="8" t="s">
        <v>33</v>
      </c>
      <c r="E64" s="8" t="s">
        <v>114</v>
      </c>
      <c r="F64" s="9" t="n">
        <v>45357</v>
      </c>
      <c r="G64" s="8" t="n">
        <f aca="true">IF(F64="","",ROUND((IF(H64="",TODAY(),H64)-F64)/7,1))</f>
        <v>8.1</v>
      </c>
      <c r="H64" s="9" t="n">
        <v>45414</v>
      </c>
      <c r="I64" s="8" t="s">
        <v>45</v>
      </c>
      <c r="J64" s="8" t="s">
        <v>1258</v>
      </c>
      <c r="K64" s="13" t="str">
        <f aca="false">IFERROR(VLOOKUP(B64,colony!$A:$T,16,FALSE()),"")</f>
        <v/>
      </c>
    </row>
    <row r="65" customFormat="false" ht="15" hidden="false" customHeight="false" outlineLevel="0" collapsed="false">
      <c r="A65" s="7" t="s">
        <v>1259</v>
      </c>
      <c r="B65" s="12"/>
      <c r="C65" s="8" t="s">
        <v>40</v>
      </c>
      <c r="D65" s="8" t="s">
        <v>46</v>
      </c>
      <c r="E65" s="8" t="s">
        <v>129</v>
      </c>
      <c r="F65" s="8"/>
      <c r="G65" s="8" t="str">
        <f aca="true">IF(F65="","",ROUND((IF(H65="",TODAY(),H65)-F65)/7,1))</f>
        <v/>
      </c>
      <c r="H65" s="9" t="n">
        <v>45422</v>
      </c>
      <c r="I65" s="8" t="s">
        <v>45</v>
      </c>
      <c r="J65" s="8" t="s">
        <v>1260</v>
      </c>
      <c r="K65" s="13" t="str">
        <f aca="false">IFERROR(VLOOKUP(B65,colony!$A:$T,16,FALSE()),"")</f>
        <v/>
      </c>
    </row>
    <row r="66" customFormat="false" ht="15" hidden="false" customHeight="false" outlineLevel="0" collapsed="false">
      <c r="A66" s="7" t="s">
        <v>1261</v>
      </c>
      <c r="B66" s="12"/>
      <c r="C66" s="8" t="s">
        <v>40</v>
      </c>
      <c r="D66" s="8" t="s">
        <v>46</v>
      </c>
      <c r="E66" s="8" t="s">
        <v>129</v>
      </c>
      <c r="F66" s="8"/>
      <c r="G66" s="8" t="str">
        <f aca="true">IF(F66="","",ROUND((IF(H66="",TODAY(),H66)-F66)/7,1))</f>
        <v/>
      </c>
      <c r="H66" s="9" t="n">
        <v>45422</v>
      </c>
      <c r="I66" s="8" t="s">
        <v>45</v>
      </c>
      <c r="J66" s="8" t="s">
        <v>1260</v>
      </c>
      <c r="K66" s="13" t="str">
        <f aca="false">IFERROR(VLOOKUP(B66,colony!$A:$T,16,FALSE()),"")</f>
        <v/>
      </c>
    </row>
    <row r="67" customFormat="false" ht="15" hidden="false" customHeight="false" outlineLevel="0" collapsed="false">
      <c r="A67" s="7" t="s">
        <v>1262</v>
      </c>
      <c r="B67" s="12"/>
      <c r="C67" s="8" t="s">
        <v>40</v>
      </c>
      <c r="D67" s="8" t="s">
        <v>46</v>
      </c>
      <c r="E67" s="8" t="s">
        <v>129</v>
      </c>
      <c r="F67" s="8"/>
      <c r="G67" s="8" t="str">
        <f aca="true">IF(F67="","",ROUND((IF(H67="",TODAY(),H67)-F67)/7,1))</f>
        <v/>
      </c>
      <c r="H67" s="9" t="n">
        <v>45422</v>
      </c>
      <c r="I67" s="8" t="s">
        <v>45</v>
      </c>
      <c r="J67" s="8" t="s">
        <v>1260</v>
      </c>
      <c r="K67" s="13" t="str">
        <f aca="false">IFERROR(VLOOKUP(B67,colony!$A:$T,16,FALSE()),"")</f>
        <v/>
      </c>
    </row>
    <row r="68" customFormat="false" ht="15" hidden="false" customHeight="false" outlineLevel="0" collapsed="false">
      <c r="A68" s="7" t="s">
        <v>1263</v>
      </c>
      <c r="B68" s="12"/>
      <c r="C68" s="8" t="s">
        <v>40</v>
      </c>
      <c r="D68" s="8" t="s">
        <v>46</v>
      </c>
      <c r="E68" s="8" t="s">
        <v>104</v>
      </c>
      <c r="F68" s="9" t="n">
        <v>45313</v>
      </c>
      <c r="G68" s="8" t="n">
        <f aca="true">IF(F68="","",ROUND((IF(H68="",TODAY(),H68)-F68)/7,1))</f>
        <v>19</v>
      </c>
      <c r="H68" s="9" t="n">
        <v>45446</v>
      </c>
      <c r="I68" s="8" t="s">
        <v>45</v>
      </c>
      <c r="J68" s="8"/>
      <c r="K68" s="13" t="str">
        <f aca="false">IFERROR(VLOOKUP(B68,colony!$A:$T,16,FALSE()),"")</f>
        <v/>
      </c>
    </row>
    <row r="69" customFormat="false" ht="15" hidden="false" customHeight="false" outlineLevel="0" collapsed="false">
      <c r="A69" s="7" t="s">
        <v>1264</v>
      </c>
      <c r="B69" s="12"/>
      <c r="C69" s="8" t="s">
        <v>40</v>
      </c>
      <c r="D69" s="8" t="s">
        <v>46</v>
      </c>
      <c r="E69" s="8" t="s">
        <v>129</v>
      </c>
      <c r="F69" s="8"/>
      <c r="G69" s="8" t="str">
        <f aca="true">IF(F69="","",ROUND((IF(H69="",TODAY(),H69)-F69)/7,1))</f>
        <v/>
      </c>
      <c r="H69" s="9" t="n">
        <v>45433</v>
      </c>
      <c r="I69" s="8" t="s">
        <v>45</v>
      </c>
      <c r="J69" s="8" t="s">
        <v>1260</v>
      </c>
      <c r="K69" s="13" t="str">
        <f aca="false">IFERROR(VLOOKUP(B69,colony!$A:$T,16,FALSE()),"")</f>
        <v/>
      </c>
    </row>
    <row r="70" customFormat="false" ht="15" hidden="false" customHeight="false" outlineLevel="0" collapsed="false">
      <c r="A70" s="7" t="s">
        <v>1265</v>
      </c>
      <c r="B70" s="12"/>
      <c r="C70" s="8" t="s">
        <v>40</v>
      </c>
      <c r="D70" s="8" t="s">
        <v>46</v>
      </c>
      <c r="E70" s="8" t="s">
        <v>129</v>
      </c>
      <c r="F70" s="8"/>
      <c r="G70" s="8" t="str">
        <f aca="true">IF(F70="","",ROUND((IF(H70="",TODAY(),H70)-F70)/7,1))</f>
        <v/>
      </c>
      <c r="H70" s="9" t="n">
        <v>45433</v>
      </c>
      <c r="I70" s="8" t="s">
        <v>45</v>
      </c>
      <c r="J70" s="8" t="s">
        <v>1260</v>
      </c>
      <c r="K70" s="13" t="str">
        <f aca="false">IFERROR(VLOOKUP(B70,colony!$A:$T,16,FALSE()),"")</f>
        <v/>
      </c>
    </row>
    <row r="71" customFormat="false" ht="15" hidden="false" customHeight="false" outlineLevel="0" collapsed="false">
      <c r="A71" s="7" t="s">
        <v>1266</v>
      </c>
      <c r="B71" s="12"/>
      <c r="C71" s="8" t="s">
        <v>40</v>
      </c>
      <c r="D71" s="8" t="s">
        <v>46</v>
      </c>
      <c r="E71" s="8" t="s">
        <v>104</v>
      </c>
      <c r="F71" s="9" t="n">
        <v>45313</v>
      </c>
      <c r="G71" s="8" t="n">
        <f aca="true">IF(F71="","",ROUND((IF(H71="",TODAY(),H71)-F71)/7,1))</f>
        <v>17.1</v>
      </c>
      <c r="H71" s="9" t="n">
        <v>45433</v>
      </c>
      <c r="I71" s="8" t="s">
        <v>45</v>
      </c>
      <c r="J71" s="8"/>
      <c r="K71" s="13" t="str">
        <f aca="false">IFERROR(VLOOKUP(B71,colony!$A:$T,16,FALSE()),"")</f>
        <v/>
      </c>
    </row>
    <row r="72" customFormat="false" ht="15" hidden="false" customHeight="false" outlineLevel="0" collapsed="false">
      <c r="A72" s="7" t="s">
        <v>1267</v>
      </c>
      <c r="B72" s="12"/>
      <c r="C72" s="8" t="s">
        <v>40</v>
      </c>
      <c r="D72" s="8" t="s">
        <v>46</v>
      </c>
      <c r="E72" s="8" t="s">
        <v>104</v>
      </c>
      <c r="F72" s="9" t="n">
        <v>45314</v>
      </c>
      <c r="G72" s="8" t="n">
        <f aca="true">IF(F72="","",ROUND((IF(H72="",TODAY(),H72)-F72)/7,1))</f>
        <v>17.1</v>
      </c>
      <c r="H72" s="9" t="n">
        <v>45434</v>
      </c>
      <c r="I72" s="8" t="s">
        <v>45</v>
      </c>
      <c r="J72" s="8" t="s">
        <v>1268</v>
      </c>
      <c r="K72" s="13" t="str">
        <f aca="false">IFERROR(VLOOKUP(B72,colony!$A:$T,16,FALSE()),"")</f>
        <v/>
      </c>
    </row>
    <row r="73" customFormat="false" ht="15" hidden="false" customHeight="false" outlineLevel="0" collapsed="false">
      <c r="A73" s="7" t="s">
        <v>1269</v>
      </c>
      <c r="B73" s="12"/>
      <c r="C73" s="8" t="s">
        <v>40</v>
      </c>
      <c r="D73" s="8" t="s">
        <v>33</v>
      </c>
      <c r="E73" s="8" t="s">
        <v>104</v>
      </c>
      <c r="F73" s="9" t="n">
        <v>45324</v>
      </c>
      <c r="G73" s="8" t="n">
        <f aca="true">IF(F73="","",ROUND((IF(H73="",TODAY(),H73)-F73)/7,1))</f>
        <v>17.4</v>
      </c>
      <c r="H73" s="9" t="n">
        <v>45446</v>
      </c>
      <c r="I73" s="8" t="s">
        <v>45</v>
      </c>
      <c r="J73" s="8" t="s">
        <v>1270</v>
      </c>
      <c r="K73" s="13" t="str">
        <f aca="false">IFERROR(VLOOKUP(B73,colony!$A:$T,16,FALSE()),"")</f>
        <v/>
      </c>
    </row>
    <row r="74" customFormat="false" ht="15" hidden="false" customHeight="false" outlineLevel="0" collapsed="false">
      <c r="A74" s="7" t="s">
        <v>1271</v>
      </c>
      <c r="B74" s="12"/>
      <c r="C74" s="8" t="s">
        <v>40</v>
      </c>
      <c r="D74" s="8" t="s">
        <v>33</v>
      </c>
      <c r="E74" s="8" t="s">
        <v>104</v>
      </c>
      <c r="F74" s="9" t="n">
        <v>45324</v>
      </c>
      <c r="G74" s="8" t="n">
        <f aca="true">IF(F74="","",ROUND((IF(H74="",TODAY(),H74)-F74)/7,1))</f>
        <v>17.4</v>
      </c>
      <c r="H74" s="9" t="n">
        <v>45446</v>
      </c>
      <c r="I74" s="8" t="s">
        <v>45</v>
      </c>
      <c r="J74" s="8" t="s">
        <v>1272</v>
      </c>
      <c r="K74" s="13" t="str">
        <f aca="false">IFERROR(VLOOKUP(B74,colony!$A:$T,16,FALSE()),"")</f>
        <v/>
      </c>
    </row>
    <row r="75" customFormat="false" ht="15" hidden="false" customHeight="false" outlineLevel="0" collapsed="false">
      <c r="A75" s="7" t="s">
        <v>1273</v>
      </c>
      <c r="B75" s="12"/>
      <c r="C75" s="8" t="s">
        <v>40</v>
      </c>
      <c r="D75" s="8" t="s">
        <v>33</v>
      </c>
      <c r="E75" s="8" t="s">
        <v>114</v>
      </c>
      <c r="F75" s="9" t="n">
        <v>45357</v>
      </c>
      <c r="G75" s="8" t="n">
        <f aca="true">IF(F75="","",ROUND((IF(H75="",TODAY(),H75)-F75)/7,1))</f>
        <v>12.7</v>
      </c>
      <c r="H75" s="9" t="n">
        <v>45446</v>
      </c>
      <c r="I75" s="8" t="s">
        <v>45</v>
      </c>
      <c r="J75" s="8" t="s">
        <v>1274</v>
      </c>
      <c r="K75" s="13" t="str">
        <f aca="false">IFERROR(VLOOKUP(B75,colony!$A:$T,16,FALSE()),"")</f>
        <v/>
      </c>
    </row>
    <row r="76" customFormat="false" ht="15" hidden="false" customHeight="false" outlineLevel="0" collapsed="false">
      <c r="A76" s="7" t="s">
        <v>1275</v>
      </c>
      <c r="B76" s="12"/>
      <c r="C76" s="8" t="s">
        <v>40</v>
      </c>
      <c r="D76" s="8" t="s">
        <v>33</v>
      </c>
      <c r="E76" s="8" t="s">
        <v>114</v>
      </c>
      <c r="F76" s="9" t="n">
        <v>45357</v>
      </c>
      <c r="G76" s="8" t="n">
        <f aca="true">IF(F76="","",ROUND((IF(H76="",TODAY(),H76)-F76)/7,1))</f>
        <v>118.6</v>
      </c>
      <c r="H76" s="8"/>
      <c r="I76" s="8" t="s">
        <v>45</v>
      </c>
      <c r="J76" s="8" t="s">
        <v>1276</v>
      </c>
      <c r="K76" s="13" t="str">
        <f aca="false">IFERROR(VLOOKUP(B76,colony!$A:$T,16,FALSE()),"")</f>
        <v/>
      </c>
    </row>
    <row r="77" customFormat="false" ht="15" hidden="false" customHeight="false" outlineLevel="0" collapsed="false">
      <c r="A77" s="7" t="s">
        <v>1277</v>
      </c>
      <c r="B77" s="12"/>
      <c r="C77" s="8" t="s">
        <v>40</v>
      </c>
      <c r="D77" s="8" t="s">
        <v>33</v>
      </c>
      <c r="E77" s="8" t="s">
        <v>114</v>
      </c>
      <c r="F77" s="9" t="n">
        <v>45357</v>
      </c>
      <c r="G77" s="8" t="n">
        <f aca="true">IF(F77="","",ROUND((IF(H77="",TODAY(),H77)-F77)/7,1))</f>
        <v>118.6</v>
      </c>
      <c r="H77" s="8"/>
      <c r="I77" s="8" t="s">
        <v>45</v>
      </c>
      <c r="J77" s="8" t="s">
        <v>1278</v>
      </c>
      <c r="K77" s="13" t="str">
        <f aca="false">IFERROR(VLOOKUP(B77,colony!$A:$T,16,FALSE()),"")</f>
        <v/>
      </c>
    </row>
    <row r="78" customFormat="false" ht="15" hidden="false" customHeight="false" outlineLevel="0" collapsed="false">
      <c r="A78" s="7" t="s">
        <v>1279</v>
      </c>
      <c r="B78" s="12"/>
      <c r="C78" s="8" t="s">
        <v>40</v>
      </c>
      <c r="D78" s="8" t="s">
        <v>33</v>
      </c>
      <c r="E78" s="8" t="s">
        <v>104</v>
      </c>
      <c r="F78" s="9" t="n">
        <v>45324</v>
      </c>
      <c r="G78" s="8" t="n">
        <f aca="true">IF(F78="","",ROUND((IF(H78="",TODAY(),H78)-F78)/7,1))</f>
        <v>23</v>
      </c>
      <c r="H78" s="9" t="n">
        <v>45485</v>
      </c>
      <c r="I78" s="8" t="s">
        <v>45</v>
      </c>
      <c r="J78" s="8" t="s">
        <v>1280</v>
      </c>
      <c r="K78" s="13" t="str">
        <f aca="false">IFERROR(VLOOKUP(B78,colony!$A:$T,16,FALSE()),"")</f>
        <v/>
      </c>
    </row>
    <row r="79" customFormat="false" ht="15" hidden="false" customHeight="false" outlineLevel="0" collapsed="false">
      <c r="A79" s="7" t="s">
        <v>1281</v>
      </c>
      <c r="B79" s="12"/>
      <c r="C79" s="8" t="s">
        <v>40</v>
      </c>
      <c r="D79" s="8" t="s">
        <v>33</v>
      </c>
      <c r="E79" s="8" t="s">
        <v>104</v>
      </c>
      <c r="F79" s="9" t="n">
        <v>45324</v>
      </c>
      <c r="G79" s="8" t="n">
        <f aca="true">IF(F79="","",ROUND((IF(H79="",TODAY(),H79)-F79)/7,1))</f>
        <v>23</v>
      </c>
      <c r="H79" s="9" t="n">
        <v>45485</v>
      </c>
      <c r="I79" s="8" t="s">
        <v>45</v>
      </c>
      <c r="J79" s="8" t="s">
        <v>1282</v>
      </c>
      <c r="K79" s="13" t="str">
        <f aca="false">IFERROR(VLOOKUP(B79,colony!$A:$T,16,FALSE()),"")</f>
        <v/>
      </c>
    </row>
    <row r="80" customFormat="false" ht="15" hidden="false" customHeight="false" outlineLevel="0" collapsed="false">
      <c r="A80" s="7" t="s">
        <v>1283</v>
      </c>
      <c r="B80" s="12"/>
      <c r="C80" s="8" t="s">
        <v>40</v>
      </c>
      <c r="D80" s="8" t="s">
        <v>46</v>
      </c>
      <c r="E80" s="8" t="s">
        <v>114</v>
      </c>
      <c r="F80" s="9" t="n">
        <v>45357</v>
      </c>
      <c r="G80" s="8" t="n">
        <f aca="true">IF(F80="","",ROUND((IF(H80="",TODAY(),H80)-F80)/7,1))</f>
        <v>118.6</v>
      </c>
      <c r="H80" s="8"/>
      <c r="I80" s="8" t="s">
        <v>45</v>
      </c>
      <c r="J80" s="8" t="s">
        <v>1284</v>
      </c>
      <c r="K80" s="13" t="str">
        <f aca="false">IFERROR(VLOOKUP(B80,colony!$A:$T,16,FALSE()),"")</f>
        <v/>
      </c>
    </row>
    <row r="81" customFormat="false" ht="15" hidden="false" customHeight="false" outlineLevel="0" collapsed="false">
      <c r="A81" s="7" t="s">
        <v>1285</v>
      </c>
      <c r="B81" s="12"/>
      <c r="C81" s="8" t="s">
        <v>40</v>
      </c>
      <c r="D81" s="8" t="s">
        <v>46</v>
      </c>
      <c r="E81" s="8" t="s">
        <v>114</v>
      </c>
      <c r="F81" s="9" t="n">
        <v>45359</v>
      </c>
      <c r="G81" s="8" t="n">
        <f aca="true">IF(F81="","",ROUND((IF(H81="",TODAY(),H81)-F81)/7,1))</f>
        <v>118.3</v>
      </c>
      <c r="H81" s="8"/>
      <c r="I81" s="8" t="s">
        <v>45</v>
      </c>
      <c r="J81" s="8" t="s">
        <v>1286</v>
      </c>
      <c r="K81" s="13" t="str">
        <f aca="false">IFERROR(VLOOKUP(B81,colony!$A:$T,16,FALSE()),"")</f>
        <v/>
      </c>
    </row>
    <row r="82" customFormat="false" ht="15" hidden="false" customHeight="false" outlineLevel="0" collapsed="false">
      <c r="A82" s="7" t="s">
        <v>1287</v>
      </c>
      <c r="B82" s="12"/>
      <c r="C82" s="8" t="s">
        <v>40</v>
      </c>
      <c r="D82" s="8" t="s">
        <v>46</v>
      </c>
      <c r="E82" s="8" t="s">
        <v>114</v>
      </c>
      <c r="F82" s="9" t="n">
        <v>45360</v>
      </c>
      <c r="G82" s="8" t="n">
        <f aca="true">IF(F82="","",ROUND((IF(H82="",TODAY(),H82)-F82)/7,1))</f>
        <v>118.1</v>
      </c>
      <c r="H82" s="8"/>
      <c r="I82" s="8" t="s">
        <v>45</v>
      </c>
      <c r="J82" s="8" t="s">
        <v>1288</v>
      </c>
      <c r="K82" s="13" t="str">
        <f aca="false">IFERROR(VLOOKUP(B82,colony!$A:$T,16,FALSE()),"")</f>
        <v/>
      </c>
    </row>
    <row r="83" customFormat="false" ht="15" hidden="false" customHeight="false" outlineLevel="0" collapsed="false">
      <c r="A83" s="7" t="s">
        <v>1289</v>
      </c>
      <c r="B83" s="12"/>
      <c r="C83" s="8" t="s">
        <v>40</v>
      </c>
      <c r="D83" s="8" t="s">
        <v>46</v>
      </c>
      <c r="E83" s="8" t="s">
        <v>129</v>
      </c>
      <c r="F83" s="9" t="n">
        <v>45086</v>
      </c>
      <c r="G83" s="8" t="n">
        <f aca="true">IF(F83="","",ROUND((IF(H83="",TODAY(),H83)-F83)/7,1))</f>
        <v>52.3</v>
      </c>
      <c r="H83" s="9" t="n">
        <v>45452</v>
      </c>
      <c r="I83" s="8" t="s">
        <v>81</v>
      </c>
      <c r="J83" s="8" t="s">
        <v>1290</v>
      </c>
      <c r="K83" s="13" t="str">
        <f aca="false">IFERROR(VLOOKUP(B83,colony!$A:$T,16,FALSE()),"")</f>
        <v/>
      </c>
    </row>
    <row r="84" customFormat="false" ht="15" hidden="false" customHeight="false" outlineLevel="0" collapsed="false">
      <c r="A84" s="7" t="s">
        <v>1291</v>
      </c>
      <c r="B84" s="12"/>
      <c r="C84" s="8" t="s">
        <v>40</v>
      </c>
      <c r="D84" s="8" t="s">
        <v>33</v>
      </c>
      <c r="E84" s="8" t="s">
        <v>104</v>
      </c>
      <c r="F84" s="9" t="n">
        <v>45324</v>
      </c>
      <c r="G84" s="8" t="n">
        <f aca="true">IF(F84="","",ROUND((IF(H84="",TODAY(),H84)-F84)/7,1))</f>
        <v>19.4</v>
      </c>
      <c r="H84" s="9" t="n">
        <v>45460</v>
      </c>
      <c r="I84" s="8" t="s">
        <v>45</v>
      </c>
      <c r="J84" s="8" t="s">
        <v>1292</v>
      </c>
      <c r="K84" s="13" t="str">
        <f aca="false">IFERROR(VLOOKUP(B84,colony!$A:$T,16,FALSE()),"")</f>
        <v/>
      </c>
    </row>
    <row r="85" customFormat="false" ht="15" hidden="false" customHeight="false" outlineLevel="0" collapsed="false">
      <c r="A85" s="7" t="s">
        <v>1293</v>
      </c>
      <c r="B85" s="12"/>
      <c r="C85" s="8" t="s">
        <v>40</v>
      </c>
      <c r="D85" s="8" t="s">
        <v>46</v>
      </c>
      <c r="E85" s="8" t="s">
        <v>104</v>
      </c>
      <c r="F85" s="9" t="n">
        <v>45324</v>
      </c>
      <c r="G85" s="8" t="n">
        <f aca="true">IF(F85="","",ROUND((IF(H85="",TODAY(),H85)-F85)/7,1))</f>
        <v>18.3</v>
      </c>
      <c r="H85" s="9" t="n">
        <v>45452</v>
      </c>
      <c r="I85" s="8" t="s">
        <v>81</v>
      </c>
      <c r="J85" s="8" t="s">
        <v>104</v>
      </c>
      <c r="K85" s="13" t="str">
        <f aca="false">IFERROR(VLOOKUP(B85,colony!$A:$T,16,FALSE()),"")</f>
        <v/>
      </c>
    </row>
    <row r="86" customFormat="false" ht="15" hidden="false" customHeight="false" outlineLevel="0" collapsed="false">
      <c r="A86" s="7" t="s">
        <v>1294</v>
      </c>
      <c r="B86" s="12"/>
      <c r="C86" s="8" t="s">
        <v>40</v>
      </c>
      <c r="D86" s="8" t="s">
        <v>33</v>
      </c>
      <c r="E86" s="8" t="s">
        <v>104</v>
      </c>
      <c r="F86" s="9" t="n">
        <v>45410</v>
      </c>
      <c r="G86" s="8" t="n">
        <f aca="true">IF(F86="","",ROUND((IF(H86="",TODAY(),H86)-F86)/7,1))</f>
        <v>12.3</v>
      </c>
      <c r="H86" s="9" t="n">
        <v>45496</v>
      </c>
      <c r="I86" s="8" t="s">
        <v>45</v>
      </c>
      <c r="J86" s="8" t="s">
        <v>1295</v>
      </c>
      <c r="K86" s="13" t="str">
        <f aca="false">IFERROR(VLOOKUP(B86,colony!$A:$T,16,FALSE()),"")</f>
        <v/>
      </c>
    </row>
    <row r="87" customFormat="false" ht="15" hidden="false" customHeight="false" outlineLevel="0" collapsed="false">
      <c r="A87" s="7" t="s">
        <v>1296</v>
      </c>
      <c r="B87" s="12"/>
      <c r="C87" s="8" t="s">
        <v>40</v>
      </c>
      <c r="D87" s="8" t="s">
        <v>33</v>
      </c>
      <c r="E87" s="8" t="s">
        <v>124</v>
      </c>
      <c r="F87" s="9" t="n">
        <v>45235</v>
      </c>
      <c r="G87" s="8" t="n">
        <f aca="true">IF(F87="","",ROUND((IF(H87="",TODAY(),H87)-F87)/7,1))</f>
        <v>37.4</v>
      </c>
      <c r="H87" s="9" t="n">
        <v>45497</v>
      </c>
      <c r="I87" s="8" t="s">
        <v>45</v>
      </c>
      <c r="J87" s="8" t="s">
        <v>1297</v>
      </c>
      <c r="K87" s="13" t="str">
        <f aca="false">IFERROR(VLOOKUP(B87,colony!$A:$T,16,FALSE()),"")</f>
        <v/>
      </c>
    </row>
    <row r="88" customFormat="false" ht="15" hidden="false" customHeight="false" outlineLevel="0" collapsed="false">
      <c r="A88" s="7" t="s">
        <v>1298</v>
      </c>
      <c r="B88" s="12"/>
      <c r="C88" s="8" t="s">
        <v>40</v>
      </c>
      <c r="D88" s="8" t="s">
        <v>33</v>
      </c>
      <c r="E88" s="8" t="s">
        <v>124</v>
      </c>
      <c r="F88" s="9" t="n">
        <v>45235</v>
      </c>
      <c r="G88" s="8" t="n">
        <f aca="true">IF(F88="","",ROUND((IF(H88="",TODAY(),H88)-F88)/7,1))</f>
        <v>37.4</v>
      </c>
      <c r="H88" s="9" t="n">
        <v>45497</v>
      </c>
      <c r="I88" s="8" t="s">
        <v>45</v>
      </c>
      <c r="J88" s="8" t="s">
        <v>1299</v>
      </c>
      <c r="K88" s="13" t="str">
        <f aca="false">IFERROR(VLOOKUP(B88,colony!$A:$T,16,FALSE()),"")</f>
        <v/>
      </c>
    </row>
    <row r="89" customFormat="false" ht="15" hidden="false" customHeight="false" outlineLevel="0" collapsed="false">
      <c r="A89" s="7" t="s">
        <v>1300</v>
      </c>
      <c r="B89" s="12"/>
      <c r="C89" s="8" t="s">
        <v>40</v>
      </c>
      <c r="D89" s="8" t="s">
        <v>33</v>
      </c>
      <c r="E89" s="8" t="s">
        <v>124</v>
      </c>
      <c r="F89" s="9" t="n">
        <v>45235</v>
      </c>
      <c r="G89" s="8" t="n">
        <f aca="true">IF(F89="","",ROUND((IF(H89="",TODAY(),H89)-F89)/7,1))</f>
        <v>37.6</v>
      </c>
      <c r="H89" s="9" t="n">
        <v>45498</v>
      </c>
      <c r="I89" s="8" t="s">
        <v>45</v>
      </c>
      <c r="J89" s="8" t="s">
        <v>1301</v>
      </c>
      <c r="K89" s="13" t="str">
        <f aca="false">IFERROR(VLOOKUP(B89,colony!$A:$T,16,FALSE()),"")</f>
        <v/>
      </c>
    </row>
    <row r="90" customFormat="false" ht="15" hidden="false" customHeight="false" outlineLevel="0" collapsed="false">
      <c r="A90" s="7" t="s">
        <v>1302</v>
      </c>
      <c r="B90" s="12"/>
      <c r="C90" s="8" t="s">
        <v>40</v>
      </c>
      <c r="D90" s="8" t="s">
        <v>33</v>
      </c>
      <c r="E90" s="8" t="s">
        <v>124</v>
      </c>
      <c r="F90" s="9" t="n">
        <v>45235</v>
      </c>
      <c r="G90" s="8" t="n">
        <f aca="true">IF(F90="","",ROUND((IF(H90="",TODAY(),H90)-F90)/7,1))</f>
        <v>37.6</v>
      </c>
      <c r="H90" s="9" t="n">
        <v>45498</v>
      </c>
      <c r="I90" s="8" t="s">
        <v>45</v>
      </c>
      <c r="J90" s="8" t="s">
        <v>1303</v>
      </c>
      <c r="K90" s="13" t="str">
        <f aca="false">IFERROR(VLOOKUP(B90,colony!$A:$T,16,FALSE()),"")</f>
        <v/>
      </c>
    </row>
    <row r="91" customFormat="false" ht="15" hidden="false" customHeight="false" outlineLevel="0" collapsed="false">
      <c r="A91" s="7" t="s">
        <v>1304</v>
      </c>
      <c r="B91" s="12"/>
      <c r="C91" s="8" t="s">
        <v>40</v>
      </c>
      <c r="D91" s="8" t="s">
        <v>33</v>
      </c>
      <c r="E91" s="8" t="s">
        <v>124</v>
      </c>
      <c r="F91" s="9" t="n">
        <v>45238</v>
      </c>
      <c r="G91" s="8" t="n">
        <f aca="true">IF(F91="","",ROUND((IF(H91="",TODAY(),H91)-F91)/7,1))</f>
        <v>37.1</v>
      </c>
      <c r="H91" s="9" t="n">
        <v>45498</v>
      </c>
      <c r="I91" s="8" t="s">
        <v>45</v>
      </c>
      <c r="J91" s="8" t="s">
        <v>1305</v>
      </c>
      <c r="K91" s="13" t="str">
        <f aca="false">IFERROR(VLOOKUP(B91,colony!$A:$T,16,FALSE()),"")</f>
        <v/>
      </c>
    </row>
    <row r="92" customFormat="false" ht="15" hidden="false" customHeight="false" outlineLevel="0" collapsed="false">
      <c r="A92" s="7" t="s">
        <v>1306</v>
      </c>
      <c r="B92" s="12"/>
      <c r="C92" s="8" t="s">
        <v>40</v>
      </c>
      <c r="D92" s="8" t="s">
        <v>33</v>
      </c>
      <c r="E92" s="8" t="s">
        <v>104</v>
      </c>
      <c r="F92" s="9" t="n">
        <v>45410</v>
      </c>
      <c r="G92" s="8" t="n">
        <f aca="true">IF(F92="","",ROUND((IF(H92="",TODAY(),H92)-F92)/7,1))</f>
        <v>17.1</v>
      </c>
      <c r="H92" s="9" t="n">
        <v>45530</v>
      </c>
      <c r="I92" s="8" t="s">
        <v>81</v>
      </c>
      <c r="J92" s="8" t="s">
        <v>1307</v>
      </c>
      <c r="K92" s="13" t="str">
        <f aca="false">IFERROR(VLOOKUP(B92,colony!$A:$T,16,FALSE()),"")</f>
        <v/>
      </c>
    </row>
    <row r="93" customFormat="false" ht="15" hidden="false" customHeight="false" outlineLevel="0" collapsed="false">
      <c r="A93" s="7" t="s">
        <v>1308</v>
      </c>
      <c r="B93" s="12"/>
      <c r="C93" s="8" t="s">
        <v>40</v>
      </c>
      <c r="D93" s="8" t="s">
        <v>33</v>
      </c>
      <c r="E93" s="8" t="s">
        <v>104</v>
      </c>
      <c r="F93" s="9" t="n">
        <v>45439</v>
      </c>
      <c r="G93" s="8" t="n">
        <f aca="true">IF(F93="","",ROUND((IF(H93="",TODAY(),H93)-F93)/7,1))</f>
        <v>9.1</v>
      </c>
      <c r="H93" s="9" t="n">
        <v>45503</v>
      </c>
      <c r="I93" s="8" t="s">
        <v>81</v>
      </c>
      <c r="J93" s="8" t="s">
        <v>104</v>
      </c>
      <c r="K93" s="13" t="str">
        <f aca="false">IFERROR(VLOOKUP(B93,colony!$A:$T,16,FALSE()),"")</f>
        <v/>
      </c>
    </row>
    <row r="94" customFormat="false" ht="15" hidden="false" customHeight="false" outlineLevel="0" collapsed="false">
      <c r="A94" s="7" t="s">
        <v>1309</v>
      </c>
      <c r="B94" s="12"/>
      <c r="C94" s="8" t="s">
        <v>40</v>
      </c>
      <c r="D94" s="8" t="s">
        <v>33</v>
      </c>
      <c r="E94" s="8" t="s">
        <v>129</v>
      </c>
      <c r="F94" s="9" t="n">
        <v>45403</v>
      </c>
      <c r="G94" s="8" t="n">
        <f aca="true">IF(F94="","",ROUND((IF(H94="",TODAY(),H94)-F94)/7,1))</f>
        <v>37.4</v>
      </c>
      <c r="H94" s="9" t="n">
        <v>45665</v>
      </c>
      <c r="I94" s="8" t="s">
        <v>81</v>
      </c>
      <c r="J94" s="8" t="s">
        <v>1310</v>
      </c>
      <c r="K94" s="13" t="str">
        <f aca="false">IFERROR(VLOOKUP(B94,colony!$A:$T,16,FALSE()),"")</f>
        <v/>
      </c>
    </row>
    <row r="95" customFormat="false" ht="15" hidden="false" customHeight="false" outlineLevel="0" collapsed="false">
      <c r="A95" s="7" t="s">
        <v>1311</v>
      </c>
      <c r="B95" s="12"/>
      <c r="C95" s="8" t="s">
        <v>40</v>
      </c>
      <c r="D95" s="8" t="s">
        <v>33</v>
      </c>
      <c r="E95" s="8" t="s">
        <v>104</v>
      </c>
      <c r="F95" s="9" t="n">
        <v>45410</v>
      </c>
      <c r="G95" s="8" t="n">
        <f aca="true">IF(F95="","",ROUND((IF(H95="",TODAY(),H95)-F95)/7,1))</f>
        <v>19.3</v>
      </c>
      <c r="H95" s="9" t="n">
        <v>45545</v>
      </c>
      <c r="I95" s="8" t="s">
        <v>81</v>
      </c>
      <c r="J95" s="8" t="s">
        <v>1312</v>
      </c>
      <c r="K95" s="13" t="str">
        <f aca="false">IFERROR(VLOOKUP(B95,colony!$A:$T,16,FALSE()),"")</f>
        <v/>
      </c>
    </row>
    <row r="96" customFormat="false" ht="15" hidden="false" customHeight="false" outlineLevel="0" collapsed="false">
      <c r="A96" s="7" t="s">
        <v>1313</v>
      </c>
      <c r="B96" s="12"/>
      <c r="C96" s="8" t="s">
        <v>40</v>
      </c>
      <c r="D96" s="8" t="s">
        <v>33</v>
      </c>
      <c r="E96" s="8" t="s">
        <v>129</v>
      </c>
      <c r="F96" s="9" t="n">
        <v>45410</v>
      </c>
      <c r="G96" s="8" t="n">
        <f aca="true">IF(F96="","",ROUND((IF(H96="",TODAY(),H96)-F96)/7,1))</f>
        <v>36.4</v>
      </c>
      <c r="H96" s="9" t="n">
        <v>45665</v>
      </c>
      <c r="I96" s="8" t="s">
        <v>81</v>
      </c>
      <c r="J96" s="8" t="s">
        <v>1314</v>
      </c>
      <c r="K96" s="13" t="str">
        <f aca="false">IFERROR(VLOOKUP(B96,colony!$A:$T,16,FALSE()),"")</f>
        <v/>
      </c>
    </row>
    <row r="97" customFormat="false" ht="15" hidden="false" customHeight="false" outlineLevel="0" collapsed="false">
      <c r="A97" s="7" t="s">
        <v>1315</v>
      </c>
      <c r="B97" s="12"/>
      <c r="C97" s="8" t="s">
        <v>40</v>
      </c>
      <c r="D97" s="8" t="s">
        <v>33</v>
      </c>
      <c r="E97" s="8" t="s">
        <v>104</v>
      </c>
      <c r="F97" s="9" t="n">
        <v>45410</v>
      </c>
      <c r="G97" s="8" t="n">
        <f aca="true">IF(F97="","",ROUND((IF(H97="",TODAY(),H97)-F97)/7,1))</f>
        <v>36.4</v>
      </c>
      <c r="H97" s="9" t="n">
        <v>45665</v>
      </c>
      <c r="I97" s="8" t="s">
        <v>81</v>
      </c>
      <c r="J97" s="8" t="s">
        <v>1316</v>
      </c>
      <c r="K97" s="13" t="str">
        <f aca="false">IFERROR(VLOOKUP(B97,colony!$A:$T,16,FALSE()),"")</f>
        <v/>
      </c>
    </row>
    <row r="98" customFormat="false" ht="15" hidden="false" customHeight="false" outlineLevel="0" collapsed="false">
      <c r="A98" s="7" t="s">
        <v>1317</v>
      </c>
      <c r="B98" s="12"/>
      <c r="C98" s="8" t="s">
        <v>40</v>
      </c>
      <c r="D98" s="8" t="s">
        <v>33</v>
      </c>
      <c r="E98" s="8" t="s">
        <v>129</v>
      </c>
      <c r="F98" s="9" t="n">
        <v>45403</v>
      </c>
      <c r="G98" s="8" t="n">
        <f aca="true">IF(F98="","",ROUND((IF(H98="",TODAY(),H98)-F98)/7,1))</f>
        <v>24.7</v>
      </c>
      <c r="H98" s="9" t="n">
        <v>45576</v>
      </c>
      <c r="I98" s="8" t="s">
        <v>81</v>
      </c>
      <c r="J98" s="8" t="s">
        <v>1318</v>
      </c>
      <c r="K98" s="13" t="str">
        <f aca="false">IFERROR(VLOOKUP(B98,colony!$A:$T,16,FALSE()),"")</f>
        <v/>
      </c>
    </row>
    <row r="99" customFormat="false" ht="15" hidden="false" customHeight="false" outlineLevel="0" collapsed="false">
      <c r="A99" s="7" t="s">
        <v>1319</v>
      </c>
      <c r="B99" s="12"/>
      <c r="C99" s="8" t="s">
        <v>40</v>
      </c>
      <c r="D99" s="8" t="s">
        <v>33</v>
      </c>
      <c r="E99" s="8" t="s">
        <v>104</v>
      </c>
      <c r="F99" s="9" t="n">
        <v>45453</v>
      </c>
      <c r="G99" s="8" t="n">
        <f aca="true">IF(F99="","",ROUND((IF(H99="",TODAY(),H99)-F99)/7,1))</f>
        <v>10.1</v>
      </c>
      <c r="H99" s="9" t="n">
        <v>45524</v>
      </c>
      <c r="I99" s="8"/>
      <c r="J99" s="8" t="s">
        <v>1320</v>
      </c>
      <c r="K99" s="13" t="str">
        <f aca="false">IFERROR(VLOOKUP(B99,colony!$A:$T,16,FALSE()),"")</f>
        <v/>
      </c>
    </row>
    <row r="100" customFormat="false" ht="15" hidden="false" customHeight="false" outlineLevel="0" collapsed="false">
      <c r="A100" s="7" t="s">
        <v>1321</v>
      </c>
      <c r="B100" s="12"/>
      <c r="C100" s="8" t="s">
        <v>40</v>
      </c>
      <c r="D100" s="8" t="s">
        <v>33</v>
      </c>
      <c r="E100" s="8" t="s">
        <v>104</v>
      </c>
      <c r="F100" s="9" t="n">
        <v>45453</v>
      </c>
      <c r="G100" s="8" t="n">
        <f aca="true">IF(F100="","",ROUND((IF(H100="",TODAY(),H100)-F100)/7,1))</f>
        <v>10.4</v>
      </c>
      <c r="H100" s="9" t="n">
        <v>45526</v>
      </c>
      <c r="I100" s="8"/>
      <c r="J100" s="8" t="s">
        <v>1322</v>
      </c>
      <c r="K100" s="13" t="str">
        <f aca="false">IFERROR(VLOOKUP(B100,colony!$A:$T,16,FALSE()),"")</f>
        <v/>
      </c>
    </row>
    <row r="101" customFormat="false" ht="15" hidden="false" customHeight="false" outlineLevel="0" collapsed="false">
      <c r="A101" s="7" t="s">
        <v>1323</v>
      </c>
      <c r="B101" s="12"/>
      <c r="C101" s="8" t="s">
        <v>40</v>
      </c>
      <c r="D101" s="8" t="s">
        <v>33</v>
      </c>
      <c r="E101" s="8" t="s">
        <v>104</v>
      </c>
      <c r="F101" s="9" t="n">
        <v>45439</v>
      </c>
      <c r="G101" s="8" t="n">
        <f aca="true">IF(F101="","",ROUND((IF(H101="",TODAY(),H101)-F101)/7,1))</f>
        <v>14.4</v>
      </c>
      <c r="H101" s="9" t="n">
        <v>45540</v>
      </c>
      <c r="I101" s="8"/>
      <c r="J101" s="8" t="s">
        <v>1324</v>
      </c>
      <c r="K101" s="13" t="str">
        <f aca="false">IFERROR(VLOOKUP(B101,colony!$A:$T,16,FALSE()),"")</f>
        <v/>
      </c>
    </row>
    <row r="102" customFormat="false" ht="15" hidden="false" customHeight="false" outlineLevel="0" collapsed="false">
      <c r="A102" s="7" t="s">
        <v>1325</v>
      </c>
      <c r="B102" s="12"/>
      <c r="C102" s="8" t="s">
        <v>40</v>
      </c>
      <c r="D102" s="8" t="s">
        <v>33</v>
      </c>
      <c r="E102" s="8" t="s">
        <v>104</v>
      </c>
      <c r="F102" s="9" t="n">
        <v>45439</v>
      </c>
      <c r="G102" s="8" t="n">
        <f aca="true">IF(F102="","",ROUND((IF(H102="",TODAY(),H102)-F102)/7,1))</f>
        <v>14.4</v>
      </c>
      <c r="H102" s="9" t="n">
        <v>45540</v>
      </c>
      <c r="I102" s="8"/>
      <c r="J102" s="8" t="s">
        <v>1326</v>
      </c>
      <c r="K102" s="13" t="str">
        <f aca="false">IFERROR(VLOOKUP(B102,colony!$A:$T,16,FALSE()),"")</f>
        <v/>
      </c>
    </row>
    <row r="103" customFormat="false" ht="15" hidden="false" customHeight="false" outlineLevel="0" collapsed="false">
      <c r="A103" s="7" t="s">
        <v>1327</v>
      </c>
      <c r="B103" s="12"/>
      <c r="C103" s="8" t="s">
        <v>40</v>
      </c>
      <c r="D103" s="8" t="s">
        <v>33</v>
      </c>
      <c r="E103" s="8" t="s">
        <v>104</v>
      </c>
      <c r="F103" s="9" t="n">
        <v>45439</v>
      </c>
      <c r="G103" s="8" t="n">
        <f aca="true">IF(F103="","",ROUND((IF(H103="",TODAY(),H103)-F103)/7,1))</f>
        <v>14.4</v>
      </c>
      <c r="H103" s="9" t="n">
        <v>45540</v>
      </c>
      <c r="I103" s="8"/>
      <c r="J103" s="8" t="s">
        <v>1328</v>
      </c>
      <c r="K103" s="13" t="str">
        <f aca="false">IFERROR(VLOOKUP(B103,colony!$A:$T,16,FALSE()),"")</f>
        <v/>
      </c>
    </row>
    <row r="104" customFormat="false" ht="15" hidden="false" customHeight="false" outlineLevel="0" collapsed="false">
      <c r="A104" s="7" t="s">
        <v>1329</v>
      </c>
      <c r="B104" s="12"/>
      <c r="C104" s="8" t="s">
        <v>40</v>
      </c>
      <c r="D104" s="8" t="s">
        <v>33</v>
      </c>
      <c r="E104" s="8" t="s">
        <v>104</v>
      </c>
      <c r="F104" s="9" t="n">
        <v>45439</v>
      </c>
      <c r="G104" s="8" t="n">
        <f aca="true">IF(F104="","",ROUND((IF(H104="",TODAY(),H104)-F104)/7,1))</f>
        <v>14.4</v>
      </c>
      <c r="H104" s="9" t="n">
        <v>45540</v>
      </c>
      <c r="I104" s="8"/>
      <c r="J104" s="8" t="s">
        <v>1330</v>
      </c>
      <c r="K104" s="13" t="str">
        <f aca="false">IFERROR(VLOOKUP(B104,colony!$A:$T,16,FALSE()),"")</f>
        <v/>
      </c>
    </row>
    <row r="105" customFormat="false" ht="15" hidden="false" customHeight="false" outlineLevel="0" collapsed="false">
      <c r="A105" s="7" t="s">
        <v>1331</v>
      </c>
      <c r="B105" s="12"/>
      <c r="C105" s="8" t="s">
        <v>40</v>
      </c>
      <c r="D105" s="8" t="s">
        <v>33</v>
      </c>
      <c r="E105" s="8" t="s">
        <v>104</v>
      </c>
      <c r="F105" s="9" t="n">
        <v>45439</v>
      </c>
      <c r="G105" s="8" t="n">
        <f aca="true">IF(F105="","",ROUND((IF(H105="",TODAY(),H105)-F105)/7,1))</f>
        <v>14.4</v>
      </c>
      <c r="H105" s="9" t="n">
        <v>45540</v>
      </c>
      <c r="I105" s="8"/>
      <c r="J105" s="8" t="s">
        <v>1332</v>
      </c>
      <c r="K105" s="13" t="str">
        <f aca="false">IFERROR(VLOOKUP(B105,colony!$A:$T,16,FALSE()),"")</f>
        <v/>
      </c>
    </row>
    <row r="106" customFormat="false" ht="15" hidden="false" customHeight="false" outlineLevel="0" collapsed="false">
      <c r="A106" s="7" t="s">
        <v>1333</v>
      </c>
      <c r="B106" s="12"/>
      <c r="C106" s="8" t="s">
        <v>40</v>
      </c>
      <c r="D106" s="8" t="s">
        <v>33</v>
      </c>
      <c r="E106" s="8" t="s">
        <v>104</v>
      </c>
      <c r="F106" s="9" t="n">
        <v>45439</v>
      </c>
      <c r="G106" s="8" t="n">
        <f aca="true">IF(F106="","",ROUND((IF(H106="",TODAY(),H106)-F106)/7,1))</f>
        <v>14.4</v>
      </c>
      <c r="H106" s="9" t="n">
        <v>45540</v>
      </c>
      <c r="I106" s="8"/>
      <c r="J106" s="8" t="s">
        <v>1334</v>
      </c>
      <c r="K106" s="13" t="str">
        <f aca="false">IFERROR(VLOOKUP(B106,colony!$A:$T,16,FALSE()),"")</f>
        <v/>
      </c>
    </row>
    <row r="107" customFormat="false" ht="15" hidden="false" customHeight="false" outlineLevel="0" collapsed="false">
      <c r="A107" s="7" t="s">
        <v>1335</v>
      </c>
      <c r="B107" s="12"/>
      <c r="C107" s="8" t="s">
        <v>40</v>
      </c>
      <c r="D107" s="8" t="s">
        <v>46</v>
      </c>
      <c r="E107" s="8" t="s">
        <v>104</v>
      </c>
      <c r="F107" s="9" t="n">
        <v>45410</v>
      </c>
      <c r="G107" s="8" t="n">
        <f aca="true">IF(F107="","",ROUND((IF(H107="",TODAY(),H107)-F107)/7,1))</f>
        <v>19.3</v>
      </c>
      <c r="H107" s="9" t="n">
        <v>45545</v>
      </c>
      <c r="I107" s="8"/>
      <c r="J107" s="8" t="s">
        <v>1336</v>
      </c>
      <c r="K107" s="13" t="str">
        <f aca="false">IFERROR(VLOOKUP(B107,colony!$A:$T,16,FALSE()),"")</f>
        <v/>
      </c>
    </row>
    <row r="108" customFormat="false" ht="15" hidden="false" customHeight="false" outlineLevel="0" collapsed="false">
      <c r="A108" s="7" t="s">
        <v>1337</v>
      </c>
      <c r="B108" s="12"/>
      <c r="C108" s="8" t="s">
        <v>40</v>
      </c>
      <c r="D108" s="8" t="s">
        <v>46</v>
      </c>
      <c r="E108" s="8" t="s">
        <v>104</v>
      </c>
      <c r="F108" s="9" t="n">
        <v>45410</v>
      </c>
      <c r="G108" s="8" t="n">
        <f aca="true">IF(F108="","",ROUND((IF(H108="",TODAY(),H108)-F108)/7,1))</f>
        <v>19.3</v>
      </c>
      <c r="H108" s="9" t="n">
        <v>45545</v>
      </c>
      <c r="I108" s="8"/>
      <c r="J108" s="8" t="s">
        <v>1338</v>
      </c>
      <c r="K108" s="13" t="str">
        <f aca="false">IFERROR(VLOOKUP(B108,colony!$A:$T,16,FALSE()),"")</f>
        <v/>
      </c>
    </row>
    <row r="109" customFormat="false" ht="15" hidden="false" customHeight="false" outlineLevel="0" collapsed="false">
      <c r="A109" s="7" t="s">
        <v>1339</v>
      </c>
      <c r="B109" s="12"/>
      <c r="C109" s="8" t="s">
        <v>40</v>
      </c>
      <c r="D109" s="8" t="s">
        <v>46</v>
      </c>
      <c r="E109" s="8" t="s">
        <v>114</v>
      </c>
      <c r="F109" s="9" t="n">
        <v>45472</v>
      </c>
      <c r="G109" s="8" t="n">
        <f aca="true">IF(F109="","",ROUND((IF(H109="",TODAY(),H109)-F109)/7,1))</f>
        <v>16.3</v>
      </c>
      <c r="H109" s="9" t="n">
        <v>45586</v>
      </c>
      <c r="I109" s="8"/>
      <c r="J109" s="8" t="s">
        <v>1340</v>
      </c>
      <c r="K109" s="13" t="str">
        <f aca="false">IFERROR(VLOOKUP(B109,colony!$A:$T,16,FALSE()),"")</f>
        <v/>
      </c>
    </row>
    <row r="110" customFormat="false" ht="15" hidden="false" customHeight="false" outlineLevel="0" collapsed="false">
      <c r="A110" s="7" t="s">
        <v>1341</v>
      </c>
      <c r="B110" s="12"/>
      <c r="C110" s="8" t="s">
        <v>40</v>
      </c>
      <c r="D110" s="8" t="s">
        <v>33</v>
      </c>
      <c r="E110" s="8" t="s">
        <v>114</v>
      </c>
      <c r="F110" s="9" t="n">
        <v>45242</v>
      </c>
      <c r="G110" s="8" t="n">
        <f aca="true">IF(F110="","",ROUND((IF(H110="",TODAY(),H110)-F110)/7,1))</f>
        <v>44.6</v>
      </c>
      <c r="H110" s="9" t="n">
        <v>45554</v>
      </c>
      <c r="I110" s="8"/>
      <c r="J110" s="8" t="s">
        <v>759</v>
      </c>
      <c r="K110" s="13" t="str">
        <f aca="false">IFERROR(VLOOKUP(B110,colony!$A:$T,16,FALSE()),"")</f>
        <v/>
      </c>
    </row>
    <row r="111" customFormat="false" ht="15" hidden="false" customHeight="false" outlineLevel="0" collapsed="false">
      <c r="A111" s="7" t="s">
        <v>1342</v>
      </c>
      <c r="B111" s="12"/>
      <c r="C111" s="8" t="s">
        <v>40</v>
      </c>
      <c r="D111" s="8" t="s">
        <v>46</v>
      </c>
      <c r="E111" s="8" t="s">
        <v>124</v>
      </c>
      <c r="F111" s="9" t="n">
        <v>45236</v>
      </c>
      <c r="G111" s="8" t="n">
        <f aca="true">IF(F111="","",ROUND((IF(H111="",TODAY(),H111)-F111)/7,1))</f>
        <v>46.1</v>
      </c>
      <c r="H111" s="9" t="n">
        <v>45559</v>
      </c>
      <c r="I111" s="8"/>
      <c r="J111" s="8" t="s">
        <v>1343</v>
      </c>
      <c r="K111" s="13" t="str">
        <f aca="false">IFERROR(VLOOKUP(B111,colony!$A:$T,16,FALSE()),"")</f>
        <v/>
      </c>
    </row>
    <row r="112" customFormat="false" ht="15" hidden="false" customHeight="false" outlineLevel="0" collapsed="false">
      <c r="A112" s="7" t="s">
        <v>1344</v>
      </c>
      <c r="B112" s="12"/>
      <c r="C112" s="8" t="s">
        <v>40</v>
      </c>
      <c r="D112" s="8" t="s">
        <v>33</v>
      </c>
      <c r="E112" s="8" t="s">
        <v>124</v>
      </c>
      <c r="F112" s="9" t="n">
        <v>45238</v>
      </c>
      <c r="G112" s="8" t="n">
        <f aca="true">IF(F112="","",ROUND((IF(H112="",TODAY(),H112)-F112)/7,1))</f>
        <v>46</v>
      </c>
      <c r="H112" s="9" t="n">
        <v>45560</v>
      </c>
      <c r="I112" s="8"/>
      <c r="J112" s="8" t="s">
        <v>1345</v>
      </c>
      <c r="K112" s="13" t="str">
        <f aca="false">IFERROR(VLOOKUP(B112,colony!$A:$T,16,FALSE()),"")</f>
        <v/>
      </c>
    </row>
    <row r="113" customFormat="false" ht="15" hidden="false" customHeight="false" outlineLevel="0" collapsed="false">
      <c r="A113" s="7" t="s">
        <v>1346</v>
      </c>
      <c r="B113" s="12"/>
      <c r="C113" s="8" t="s">
        <v>40</v>
      </c>
      <c r="D113" s="8" t="s">
        <v>33</v>
      </c>
      <c r="E113" s="8" t="s">
        <v>104</v>
      </c>
      <c r="F113" s="9" t="n">
        <v>45238</v>
      </c>
      <c r="G113" s="8" t="n">
        <f aca="true">IF(F113="","",ROUND((IF(H113="",TODAY(),H113)-F113)/7,1))</f>
        <v>46</v>
      </c>
      <c r="H113" s="9" t="n">
        <v>45560</v>
      </c>
      <c r="I113" s="8"/>
      <c r="J113" s="8" t="s">
        <v>1347</v>
      </c>
      <c r="K113" s="13" t="str">
        <f aca="false">IFERROR(VLOOKUP(B113,colony!$A:$T,16,FALSE()),"")</f>
        <v/>
      </c>
    </row>
    <row r="114" customFormat="false" ht="15" hidden="false" customHeight="false" outlineLevel="0" collapsed="false">
      <c r="A114" s="7" t="s">
        <v>1348</v>
      </c>
      <c r="B114" s="12"/>
      <c r="C114" s="8" t="s">
        <v>40</v>
      </c>
      <c r="D114" s="8" t="s">
        <v>46</v>
      </c>
      <c r="E114" s="8" t="s">
        <v>104</v>
      </c>
      <c r="F114" s="9" t="n">
        <v>45239</v>
      </c>
      <c r="G114" s="8" t="n">
        <f aca="true">IF(F114="","",ROUND((IF(H114="",TODAY(),H114)-F114)/7,1))</f>
        <v>46</v>
      </c>
      <c r="H114" s="9" t="n">
        <v>45561</v>
      </c>
      <c r="I114" s="8"/>
      <c r="J114" s="8" t="s">
        <v>1349</v>
      </c>
      <c r="K114" s="13" t="str">
        <f aca="false">IFERROR(VLOOKUP(B114,colony!$A:$T,16,FALSE()),"")</f>
        <v/>
      </c>
    </row>
    <row r="115" customFormat="false" ht="15" hidden="false" customHeight="false" outlineLevel="0" collapsed="false">
      <c r="A115" s="7" t="s">
        <v>1350</v>
      </c>
      <c r="B115" s="12"/>
      <c r="C115" s="8" t="s">
        <v>40</v>
      </c>
      <c r="D115" s="8" t="s">
        <v>33</v>
      </c>
      <c r="E115" s="8" t="s">
        <v>114</v>
      </c>
      <c r="F115" s="9" t="n">
        <v>45420</v>
      </c>
      <c r="G115" s="8" t="n">
        <f aca="true">IF(F115="","",ROUND((IF(H115="",TODAY(),H115)-F115)/7,1))</f>
        <v>22</v>
      </c>
      <c r="H115" s="9" t="n">
        <v>45574</v>
      </c>
      <c r="I115" s="8"/>
      <c r="J115" s="8" t="s">
        <v>1351</v>
      </c>
      <c r="K115" s="13" t="str">
        <f aca="false">IFERROR(VLOOKUP(B115,colony!$A:$T,16,FALSE()),"")</f>
        <v/>
      </c>
    </row>
    <row r="116" customFormat="false" ht="15" hidden="false" customHeight="false" outlineLevel="0" collapsed="false">
      <c r="A116" s="7" t="s">
        <v>1352</v>
      </c>
      <c r="B116" s="12"/>
      <c r="C116" s="8" t="s">
        <v>40</v>
      </c>
      <c r="D116" s="8" t="s">
        <v>33</v>
      </c>
      <c r="E116" s="8" t="s">
        <v>114</v>
      </c>
      <c r="F116" s="9" t="n">
        <v>45420</v>
      </c>
      <c r="G116" s="8" t="n">
        <f aca="true">IF(F116="","",ROUND((IF(H116="",TODAY(),H116)-F116)/7,1))</f>
        <v>23.7</v>
      </c>
      <c r="H116" s="9" t="n">
        <v>45586</v>
      </c>
      <c r="I116" s="8"/>
      <c r="J116" s="8" t="s">
        <v>1353</v>
      </c>
      <c r="K116" s="13" t="str">
        <f aca="false">IFERROR(VLOOKUP(B116,colony!$A:$T,16,FALSE()),"")</f>
        <v/>
      </c>
    </row>
    <row r="117" customFormat="false" ht="15" hidden="false" customHeight="false" outlineLevel="0" collapsed="false">
      <c r="A117" s="7" t="s">
        <v>1354</v>
      </c>
      <c r="B117" s="12"/>
      <c r="C117" s="8" t="s">
        <v>40</v>
      </c>
      <c r="D117" s="8" t="s">
        <v>33</v>
      </c>
      <c r="E117" s="8" t="s">
        <v>104</v>
      </c>
      <c r="F117" s="9" t="n">
        <v>45509</v>
      </c>
      <c r="G117" s="8" t="n">
        <f aca="true">IF(F117="","",ROUND((IF(H117="",TODAY(),H117)-F117)/7,1))</f>
        <v>9.6</v>
      </c>
      <c r="H117" s="9" t="n">
        <v>45576</v>
      </c>
      <c r="I117" s="8" t="s">
        <v>45</v>
      </c>
      <c r="J117" s="8" t="s">
        <v>1355</v>
      </c>
      <c r="K117" s="13" t="str">
        <f aca="false">IFERROR(VLOOKUP(B117,colony!$A:$T,16,FALSE()),"")</f>
        <v/>
      </c>
    </row>
    <row r="118" customFormat="false" ht="15" hidden="false" customHeight="false" outlineLevel="0" collapsed="false">
      <c r="A118" s="7" t="s">
        <v>1356</v>
      </c>
      <c r="B118" s="12"/>
      <c r="C118" s="8" t="s">
        <v>40</v>
      </c>
      <c r="D118" s="8" t="s">
        <v>46</v>
      </c>
      <c r="E118" s="8" t="s">
        <v>129</v>
      </c>
      <c r="F118" s="9" t="n">
        <v>45281</v>
      </c>
      <c r="G118" s="8" t="n">
        <f aca="true">IF(F118="","",ROUND((IF(H118="",TODAY(),H118)-F118)/7,1))</f>
        <v>42.3</v>
      </c>
      <c r="H118" s="9" t="n">
        <v>45577</v>
      </c>
      <c r="I118" s="8"/>
      <c r="J118" s="8" t="s">
        <v>1357</v>
      </c>
      <c r="K118" s="13" t="str">
        <f aca="false">IFERROR(VLOOKUP(B118,colony!$A:$T,16,FALSE()),"")</f>
        <v/>
      </c>
    </row>
    <row r="119" customFormat="false" ht="15" hidden="false" customHeight="false" outlineLevel="0" collapsed="false">
      <c r="A119" s="7" t="s">
        <v>1358</v>
      </c>
      <c r="B119" s="12"/>
      <c r="C119" s="8" t="s">
        <v>40</v>
      </c>
      <c r="D119" s="8" t="s">
        <v>46</v>
      </c>
      <c r="E119" s="8" t="s">
        <v>129</v>
      </c>
      <c r="F119" s="9" t="n">
        <v>45281</v>
      </c>
      <c r="G119" s="8" t="n">
        <f aca="true">IF(F119="","",ROUND((IF(H119="",TODAY(),H119)-F119)/7,1))</f>
        <v>42.3</v>
      </c>
      <c r="H119" s="9" t="n">
        <v>45577</v>
      </c>
      <c r="I119" s="8"/>
      <c r="J119" s="8" t="s">
        <v>1359</v>
      </c>
      <c r="K119" s="13" t="str">
        <f aca="false">IFERROR(VLOOKUP(B119,colony!$A:$T,16,FALSE()),"")</f>
        <v/>
      </c>
    </row>
    <row r="120" customFormat="false" ht="15" hidden="false" customHeight="false" outlineLevel="0" collapsed="false">
      <c r="A120" s="7" t="s">
        <v>1360</v>
      </c>
      <c r="B120" s="12"/>
      <c r="C120" s="8" t="s">
        <v>40</v>
      </c>
      <c r="D120" s="8" t="s">
        <v>33</v>
      </c>
      <c r="E120" s="8" t="s">
        <v>114</v>
      </c>
      <c r="F120" s="9" t="n">
        <v>45479</v>
      </c>
      <c r="G120" s="8" t="n">
        <f aca="true">IF(F120="","",ROUND((IF(H120="",TODAY(),H120)-F120)/7,1))</f>
        <v>14.9</v>
      </c>
      <c r="H120" s="9" t="n">
        <v>45583</v>
      </c>
      <c r="I120" s="8"/>
      <c r="J120" s="8" t="s">
        <v>1361</v>
      </c>
      <c r="K120" s="13" t="str">
        <f aca="false">IFERROR(VLOOKUP(B120,colony!$A:$T,16,FALSE()),"")</f>
        <v/>
      </c>
    </row>
    <row r="121" customFormat="false" ht="15" hidden="false" customHeight="false" outlineLevel="0" collapsed="false">
      <c r="A121" s="7" t="s">
        <v>1362</v>
      </c>
      <c r="B121" s="12"/>
      <c r="C121" s="8" t="s">
        <v>40</v>
      </c>
      <c r="D121" s="8" t="s">
        <v>33</v>
      </c>
      <c r="E121" s="8" t="s">
        <v>114</v>
      </c>
      <c r="F121" s="9" t="n">
        <v>45479</v>
      </c>
      <c r="G121" s="8" t="n">
        <f aca="true">IF(F121="","",ROUND((IF(H121="",TODAY(),H121)-F121)/7,1))</f>
        <v>14.9</v>
      </c>
      <c r="H121" s="9" t="n">
        <v>45583</v>
      </c>
      <c r="I121" s="8"/>
      <c r="J121" s="8" t="s">
        <v>1363</v>
      </c>
      <c r="K121" s="13" t="str">
        <f aca="false">IFERROR(VLOOKUP(B121,colony!$A:$T,16,FALSE()),"")</f>
        <v/>
      </c>
    </row>
    <row r="122" customFormat="false" ht="15" hidden="false" customHeight="false" outlineLevel="0" collapsed="false">
      <c r="A122" s="7" t="s">
        <v>1364</v>
      </c>
      <c r="B122" s="12"/>
      <c r="C122" s="8" t="s">
        <v>40</v>
      </c>
      <c r="D122" s="8" t="s">
        <v>46</v>
      </c>
      <c r="E122" s="8" t="s">
        <v>114</v>
      </c>
      <c r="F122" s="9" t="n">
        <v>45484</v>
      </c>
      <c r="G122" s="8" t="n">
        <f aca="true">IF(F122="","",ROUND((IF(H122="",TODAY(),H122)-F122)/7,1))</f>
        <v>14.7</v>
      </c>
      <c r="H122" s="9" t="n">
        <v>45587</v>
      </c>
      <c r="I122" s="8"/>
      <c r="J122" s="8" t="s">
        <v>1365</v>
      </c>
      <c r="K122" s="13" t="str">
        <f aca="false">IFERROR(VLOOKUP(B122,colony!$A:$T,16,FALSE()),"")</f>
        <v/>
      </c>
    </row>
    <row r="123" customFormat="false" ht="15" hidden="false" customHeight="false" outlineLevel="0" collapsed="false">
      <c r="A123" s="7" t="s">
        <v>1366</v>
      </c>
      <c r="B123" s="12"/>
      <c r="C123" s="8" t="s">
        <v>40</v>
      </c>
      <c r="D123" s="8" t="s">
        <v>46</v>
      </c>
      <c r="E123" s="8" t="s">
        <v>114</v>
      </c>
      <c r="F123" s="9" t="n">
        <v>45484</v>
      </c>
      <c r="G123" s="8" t="n">
        <f aca="true">IF(F123="","",ROUND((IF(H123="",TODAY(),H123)-F123)/7,1))</f>
        <v>14.7</v>
      </c>
      <c r="H123" s="9" t="n">
        <v>45587</v>
      </c>
      <c r="I123" s="8"/>
      <c r="J123" s="8" t="s">
        <v>1367</v>
      </c>
      <c r="K123" s="13" t="str">
        <f aca="false">IFERROR(VLOOKUP(B123,colony!$A:$T,16,FALSE()),"")</f>
        <v/>
      </c>
    </row>
    <row r="124" customFormat="false" ht="15" hidden="false" customHeight="false" outlineLevel="0" collapsed="false">
      <c r="A124" s="7" t="s">
        <v>1368</v>
      </c>
      <c r="B124" s="12"/>
      <c r="C124" s="8" t="s">
        <v>40</v>
      </c>
      <c r="D124" s="8" t="s">
        <v>46</v>
      </c>
      <c r="E124" s="8" t="s">
        <v>104</v>
      </c>
      <c r="F124" s="9" t="n">
        <v>45470</v>
      </c>
      <c r="G124" s="8" t="n">
        <f aca="true">IF(F124="","",ROUND((IF(H124="",TODAY(),H124)-F124)/7,1))</f>
        <v>17</v>
      </c>
      <c r="H124" s="9" t="n">
        <v>45589</v>
      </c>
      <c r="I124" s="8"/>
      <c r="J124" s="8" t="s">
        <v>1369</v>
      </c>
      <c r="K124" s="13" t="str">
        <f aca="false">IFERROR(VLOOKUP(B124,colony!$A:$T,16,FALSE()),"")</f>
        <v/>
      </c>
    </row>
    <row r="125" customFormat="false" ht="15" hidden="false" customHeight="false" outlineLevel="0" collapsed="false">
      <c r="A125" s="7" t="s">
        <v>1370</v>
      </c>
      <c r="B125" s="12"/>
      <c r="C125" s="8" t="s">
        <v>40</v>
      </c>
      <c r="D125" s="8" t="s">
        <v>46</v>
      </c>
      <c r="E125" s="8" t="s">
        <v>104</v>
      </c>
      <c r="F125" s="9" t="n">
        <v>45509</v>
      </c>
      <c r="G125" s="8" t="n">
        <f aca="true">IF(F125="","",ROUND((IF(H125="",TODAY(),H125)-F125)/7,1))</f>
        <v>11.6</v>
      </c>
      <c r="H125" s="9" t="n">
        <v>45590</v>
      </c>
      <c r="I125" s="8" t="s">
        <v>81</v>
      </c>
      <c r="J125" s="8" t="s">
        <v>1371</v>
      </c>
      <c r="K125" s="13" t="str">
        <f aca="false">IFERROR(VLOOKUP(B125,colony!$A:$T,16,FALSE()),"")</f>
        <v/>
      </c>
    </row>
    <row r="126" customFormat="false" ht="15" hidden="false" customHeight="false" outlineLevel="0" collapsed="false">
      <c r="A126" s="7" t="s">
        <v>1372</v>
      </c>
      <c r="B126" s="12"/>
      <c r="C126" s="8" t="s">
        <v>40</v>
      </c>
      <c r="D126" s="8" t="s">
        <v>33</v>
      </c>
      <c r="E126" s="8" t="s">
        <v>114</v>
      </c>
      <c r="F126" s="9" t="n">
        <v>45484</v>
      </c>
      <c r="G126" s="8" t="n">
        <f aca="true">IF(F126="","",ROUND((IF(H126="",TODAY(),H126)-F126)/7,1))</f>
        <v>15.6</v>
      </c>
      <c r="H126" s="9" t="n">
        <v>45593</v>
      </c>
      <c r="I126" s="8"/>
      <c r="J126" s="8" t="s">
        <v>1373</v>
      </c>
      <c r="K126" s="13" t="str">
        <f aca="false">IFERROR(VLOOKUP(B126,colony!$A:$T,16,FALSE()),"")</f>
        <v/>
      </c>
    </row>
    <row r="127" customFormat="false" ht="15" hidden="false" customHeight="false" outlineLevel="0" collapsed="false">
      <c r="A127" s="7" t="s">
        <v>1374</v>
      </c>
      <c r="B127" s="12"/>
      <c r="C127" s="8" t="s">
        <v>40</v>
      </c>
      <c r="D127" s="8" t="s">
        <v>33</v>
      </c>
      <c r="E127" s="8" t="s">
        <v>114</v>
      </c>
      <c r="F127" s="9" t="n">
        <v>45484</v>
      </c>
      <c r="G127" s="8" t="n">
        <f aca="true">IF(F127="","",ROUND((IF(H127="",TODAY(),H127)-F127)/7,1))</f>
        <v>15.6</v>
      </c>
      <c r="H127" s="9" t="n">
        <v>45593</v>
      </c>
      <c r="I127" s="8"/>
      <c r="J127" s="8" t="s">
        <v>1375</v>
      </c>
      <c r="K127" s="13" t="str">
        <f aca="false">IFERROR(VLOOKUP(B127,colony!$A:$T,16,FALSE()),"")</f>
        <v/>
      </c>
    </row>
    <row r="128" customFormat="false" ht="15" hidden="false" customHeight="false" outlineLevel="0" collapsed="false">
      <c r="A128" s="7" t="s">
        <v>1376</v>
      </c>
      <c r="B128" s="12"/>
      <c r="C128" s="8" t="s">
        <v>40</v>
      </c>
      <c r="D128" s="8" t="s">
        <v>46</v>
      </c>
      <c r="E128" s="8" t="s">
        <v>104</v>
      </c>
      <c r="F128" s="9" t="n">
        <v>45509</v>
      </c>
      <c r="G128" s="8" t="n">
        <f aca="true">IF(F128="","",ROUND((IF(H128="",TODAY(),H128)-F128)/7,1))</f>
        <v>12</v>
      </c>
      <c r="H128" s="9" t="n">
        <v>45593</v>
      </c>
      <c r="I128" s="8" t="s">
        <v>81</v>
      </c>
      <c r="J128" s="8" t="s">
        <v>1377</v>
      </c>
      <c r="K128" s="13" t="str">
        <f aca="false">IFERROR(VLOOKUP(B128,colony!$A:$T,16,FALSE()),"")</f>
        <v/>
      </c>
    </row>
    <row r="129" customFormat="false" ht="15" hidden="false" customHeight="false" outlineLevel="0" collapsed="false">
      <c r="A129" s="7" t="s">
        <v>1378</v>
      </c>
      <c r="B129" s="12"/>
      <c r="C129" s="8" t="s">
        <v>40</v>
      </c>
      <c r="D129" s="8" t="s">
        <v>33</v>
      </c>
      <c r="E129" s="8" t="s">
        <v>114</v>
      </c>
      <c r="F129" s="9" t="n">
        <v>45484</v>
      </c>
      <c r="G129" s="8" t="n">
        <f aca="true">IF(F129="","",ROUND((IF(H129="",TODAY(),H129)-F129)/7,1))</f>
        <v>15.7</v>
      </c>
      <c r="H129" s="9" t="n">
        <v>45594</v>
      </c>
      <c r="I129" s="8"/>
      <c r="J129" s="8" t="s">
        <v>1379</v>
      </c>
      <c r="K129" s="13" t="str">
        <f aca="false">IFERROR(VLOOKUP(B129,colony!$A:$T,16,FALSE()),"")</f>
        <v/>
      </c>
    </row>
    <row r="130" customFormat="false" ht="15" hidden="false" customHeight="false" outlineLevel="0" collapsed="false">
      <c r="A130" s="7" t="s">
        <v>1380</v>
      </c>
      <c r="B130" s="12"/>
      <c r="C130" s="8" t="s">
        <v>40</v>
      </c>
      <c r="D130" s="8" t="s">
        <v>33</v>
      </c>
      <c r="E130" s="8" t="s">
        <v>104</v>
      </c>
      <c r="F130" s="9" t="n">
        <v>45523</v>
      </c>
      <c r="G130" s="8" t="n">
        <f aca="true">IF(F130="","",ROUND((IF(H130="",TODAY(),H130)-F130)/7,1))</f>
        <v>10.3</v>
      </c>
      <c r="H130" s="9" t="n">
        <v>45595</v>
      </c>
      <c r="I130" s="8" t="s">
        <v>81</v>
      </c>
      <c r="J130" s="8" t="s">
        <v>1381</v>
      </c>
      <c r="K130" s="13" t="str">
        <f aca="false">IFERROR(VLOOKUP(B130,colony!$A:$T,16,FALSE()),"")</f>
        <v/>
      </c>
    </row>
    <row r="131" customFormat="false" ht="15" hidden="false" customHeight="false" outlineLevel="0" collapsed="false">
      <c r="A131" s="7" t="s">
        <v>1382</v>
      </c>
      <c r="B131" s="12"/>
      <c r="C131" s="8" t="s">
        <v>40</v>
      </c>
      <c r="D131" s="8" t="s">
        <v>33</v>
      </c>
      <c r="E131" s="8" t="s">
        <v>104</v>
      </c>
      <c r="F131" s="9" t="n">
        <v>45523</v>
      </c>
      <c r="G131" s="8" t="n">
        <f aca="true">IF(F131="","",ROUND((IF(H131="",TODAY(),H131)-F131)/7,1))</f>
        <v>10.3</v>
      </c>
      <c r="H131" s="9" t="n">
        <v>45595</v>
      </c>
      <c r="I131" s="8"/>
      <c r="J131" s="8" t="s">
        <v>1383</v>
      </c>
      <c r="K131" s="13" t="str">
        <f aca="false">IFERROR(VLOOKUP(B131,colony!$A:$T,16,FALSE()),"")</f>
        <v/>
      </c>
    </row>
    <row r="132" customFormat="false" ht="15" hidden="false" customHeight="false" outlineLevel="0" collapsed="false">
      <c r="A132" s="7" t="s">
        <v>1384</v>
      </c>
      <c r="B132" s="12"/>
      <c r="C132" s="8" t="s">
        <v>40</v>
      </c>
      <c r="D132" s="8" t="s">
        <v>33</v>
      </c>
      <c r="E132" s="8" t="s">
        <v>104</v>
      </c>
      <c r="F132" s="9" t="n">
        <v>45324</v>
      </c>
      <c r="G132" s="8" t="n">
        <f aca="true">IF(F132="","",ROUND((IF(H132="",TODAY(),H132)-F132)/7,1))</f>
        <v>39.6</v>
      </c>
      <c r="H132" s="9" t="n">
        <v>45601</v>
      </c>
      <c r="I132" s="8"/>
      <c r="J132" s="8" t="s">
        <v>1385</v>
      </c>
      <c r="K132" s="13" t="str">
        <f aca="false">IFERROR(VLOOKUP(B132,colony!$A:$T,16,FALSE()),"")</f>
        <v/>
      </c>
    </row>
    <row r="133" customFormat="false" ht="15" hidden="false" customHeight="false" outlineLevel="0" collapsed="false">
      <c r="A133" s="7" t="s">
        <v>1386</v>
      </c>
      <c r="B133" s="12"/>
      <c r="C133" s="8" t="s">
        <v>40</v>
      </c>
      <c r="D133" s="8" t="s">
        <v>33</v>
      </c>
      <c r="E133" s="8" t="s">
        <v>104</v>
      </c>
      <c r="F133" s="9" t="n">
        <v>45464</v>
      </c>
      <c r="G133" s="8" t="n">
        <f aca="true">IF(F133="","",ROUND((IF(H133="",TODAY(),H133)-F133)/7,1))</f>
        <v>19</v>
      </c>
      <c r="H133" s="9" t="n">
        <v>45597</v>
      </c>
      <c r="I133" s="8"/>
      <c r="J133" s="8" t="s">
        <v>1387</v>
      </c>
      <c r="K133" s="13" t="str">
        <f aca="false">IFERROR(VLOOKUP(B133,colony!$A:$T,16,FALSE()),"")</f>
        <v/>
      </c>
    </row>
    <row r="134" customFormat="false" ht="15" hidden="false" customHeight="false" outlineLevel="0" collapsed="false">
      <c r="A134" s="7" t="s">
        <v>1388</v>
      </c>
      <c r="B134" s="12"/>
      <c r="C134" s="8" t="s">
        <v>40</v>
      </c>
      <c r="D134" s="8" t="s">
        <v>33</v>
      </c>
      <c r="E134" s="8" t="s">
        <v>104</v>
      </c>
      <c r="F134" s="9" t="n">
        <v>45324</v>
      </c>
      <c r="G134" s="8" t="n">
        <f aca="true">IF(F134="","",ROUND((IF(H134="",TODAY(),H134)-F134)/7,1))</f>
        <v>39.7</v>
      </c>
      <c r="H134" s="9" t="n">
        <v>45602</v>
      </c>
      <c r="I134" s="8"/>
      <c r="J134" s="8" t="s">
        <v>1389</v>
      </c>
      <c r="K134" s="13" t="str">
        <f aca="false">IFERROR(VLOOKUP(B134,colony!$A:$T,16,FALSE()),"")</f>
        <v/>
      </c>
    </row>
    <row r="135" customFormat="false" ht="15" hidden="false" customHeight="false" outlineLevel="0" collapsed="false">
      <c r="A135" s="7" t="s">
        <v>1390</v>
      </c>
      <c r="B135" s="12"/>
      <c r="C135" s="8" t="s">
        <v>40</v>
      </c>
      <c r="D135" s="8" t="s">
        <v>33</v>
      </c>
      <c r="E135" s="8" t="s">
        <v>114</v>
      </c>
      <c r="F135" s="9" t="n">
        <v>45479</v>
      </c>
      <c r="G135" s="8" t="n">
        <f aca="true">IF(F135="","",ROUND((IF(H135="",TODAY(),H135)-F135)/7,1))</f>
        <v>17.7</v>
      </c>
      <c r="H135" s="9" t="n">
        <v>45603</v>
      </c>
      <c r="I135" s="8"/>
      <c r="J135" s="8" t="s">
        <v>1391</v>
      </c>
      <c r="K135" s="13" t="str">
        <f aca="false">IFERROR(VLOOKUP(B135,colony!$A:$T,16,FALSE()),"")</f>
        <v/>
      </c>
    </row>
    <row r="136" customFormat="false" ht="15" hidden="false" customHeight="false" outlineLevel="0" collapsed="false">
      <c r="A136" s="7" t="s">
        <v>1392</v>
      </c>
      <c r="B136" s="12"/>
      <c r="C136" s="8" t="s">
        <v>40</v>
      </c>
      <c r="D136" s="8" t="s">
        <v>46</v>
      </c>
      <c r="E136" s="8" t="s">
        <v>124</v>
      </c>
      <c r="F136" s="9" t="n">
        <v>45329</v>
      </c>
      <c r="G136" s="8" t="n">
        <f aca="true">IF(F136="","",ROUND((IF(H136="",TODAY(),H136)-F136)/7,1))</f>
        <v>39.7</v>
      </c>
      <c r="H136" s="9" t="n">
        <v>45607</v>
      </c>
      <c r="I136" s="8"/>
      <c r="J136" s="8" t="s">
        <v>1393</v>
      </c>
      <c r="K136" s="13" t="str">
        <f aca="false">IFERROR(VLOOKUP(B136,colony!$A:$T,16,FALSE()),"")</f>
        <v/>
      </c>
    </row>
    <row r="137" customFormat="false" ht="15" hidden="false" customHeight="false" outlineLevel="0" collapsed="false">
      <c r="A137" s="7" t="s">
        <v>1394</v>
      </c>
      <c r="B137" s="12"/>
      <c r="C137" s="8" t="s">
        <v>40</v>
      </c>
      <c r="D137" s="8" t="s">
        <v>46</v>
      </c>
      <c r="E137" s="8" t="s">
        <v>104</v>
      </c>
      <c r="F137" s="9" t="n">
        <v>45324</v>
      </c>
      <c r="G137" s="8" t="n">
        <f aca="true">IF(F137="","",ROUND((IF(H137="",TODAY(),H137)-F137)/7,1))</f>
        <v>40.6</v>
      </c>
      <c r="H137" s="9" t="n">
        <v>45608</v>
      </c>
      <c r="I137" s="8"/>
      <c r="J137" s="8" t="s">
        <v>1395</v>
      </c>
      <c r="K137" s="13" t="str">
        <f aca="false">IFERROR(VLOOKUP(B137,colony!$A:$T,16,FALSE()),"")</f>
        <v/>
      </c>
    </row>
    <row r="138" customFormat="false" ht="15" hidden="false" customHeight="false" outlineLevel="0" collapsed="false">
      <c r="A138" s="7" t="s">
        <v>1396</v>
      </c>
      <c r="B138" s="12"/>
      <c r="C138" s="8" t="s">
        <v>40</v>
      </c>
      <c r="D138" s="8" t="s">
        <v>46</v>
      </c>
      <c r="E138" s="8" t="s">
        <v>104</v>
      </c>
      <c r="F138" s="9" t="n">
        <v>45324</v>
      </c>
      <c r="G138" s="8" t="n">
        <f aca="true">IF(F138="","",ROUND((IF(H138="",TODAY(),H138)-F138)/7,1))</f>
        <v>40.6</v>
      </c>
      <c r="H138" s="9" t="n">
        <v>45608</v>
      </c>
      <c r="I138" s="8"/>
      <c r="J138" s="8" t="s">
        <v>1397</v>
      </c>
      <c r="K138" s="13" t="str">
        <f aca="false">IFERROR(VLOOKUP(B138,colony!$A:$T,16,FALSE()),"")</f>
        <v/>
      </c>
    </row>
    <row r="139" customFormat="false" ht="15" hidden="false" customHeight="false" outlineLevel="0" collapsed="false">
      <c r="A139" s="7" t="s">
        <v>1398</v>
      </c>
      <c r="B139" s="12"/>
      <c r="C139" s="8" t="s">
        <v>40</v>
      </c>
      <c r="D139" s="8" t="s">
        <v>33</v>
      </c>
      <c r="E139" s="8" t="s">
        <v>104</v>
      </c>
      <c r="F139" s="9" t="n">
        <v>45537</v>
      </c>
      <c r="G139" s="8" t="n">
        <f aca="true">IF(F139="","",ROUND((IF(H139="",TODAY(),H139)-F139)/7,1))</f>
        <v>10.1</v>
      </c>
      <c r="H139" s="9" t="n">
        <v>45608</v>
      </c>
      <c r="I139" s="8"/>
      <c r="J139" s="8" t="s">
        <v>1399</v>
      </c>
      <c r="K139" s="13" t="str">
        <f aca="false">IFERROR(VLOOKUP(B139,colony!$A:$T,16,FALSE()),"")</f>
        <v/>
      </c>
    </row>
    <row r="140" customFormat="false" ht="15" hidden="false" customHeight="false" outlineLevel="0" collapsed="false">
      <c r="A140" s="7" t="s">
        <v>1400</v>
      </c>
      <c r="B140" s="12"/>
      <c r="C140" s="8" t="s">
        <v>40</v>
      </c>
      <c r="D140" s="8" t="s">
        <v>46</v>
      </c>
      <c r="E140" s="8" t="s">
        <v>104</v>
      </c>
      <c r="F140" s="9" t="n">
        <v>45528</v>
      </c>
      <c r="G140" s="8" t="n">
        <f aca="true">IF(F140="","",ROUND((IF(H140="",TODAY(),H140)-F140)/7,1))</f>
        <v>11.6</v>
      </c>
      <c r="H140" s="9" t="n">
        <v>45609</v>
      </c>
      <c r="I140" s="8"/>
      <c r="J140" s="8" t="s">
        <v>1401</v>
      </c>
      <c r="K140" s="13" t="str">
        <f aca="false">IFERROR(VLOOKUP(B140,colony!$A:$T,16,FALSE()),"")</f>
        <v/>
      </c>
    </row>
    <row r="141" customFormat="false" ht="15" hidden="false" customHeight="false" outlineLevel="0" collapsed="false">
      <c r="A141" s="7" t="s">
        <v>1402</v>
      </c>
      <c r="B141" s="12"/>
      <c r="C141" s="8" t="s">
        <v>40</v>
      </c>
      <c r="D141" s="8" t="s">
        <v>33</v>
      </c>
      <c r="E141" s="8" t="s">
        <v>104</v>
      </c>
      <c r="F141" s="9" t="n">
        <v>45537</v>
      </c>
      <c r="G141" s="8" t="n">
        <f aca="true">IF(F141="","",ROUND((IF(H141="",TODAY(),H141)-F141)/7,1))</f>
        <v>10.3</v>
      </c>
      <c r="H141" s="9" t="n">
        <v>45609</v>
      </c>
      <c r="I141" s="8"/>
      <c r="J141" s="8" t="s">
        <v>1403</v>
      </c>
      <c r="K141" s="13" t="str">
        <f aca="false">IFERROR(VLOOKUP(B141,colony!$A:$T,16,FALSE()),"")</f>
        <v/>
      </c>
    </row>
    <row r="142" customFormat="false" ht="15" hidden="false" customHeight="false" outlineLevel="0" collapsed="false">
      <c r="A142" s="7" t="s">
        <v>1404</v>
      </c>
      <c r="B142" s="12"/>
      <c r="C142" s="8" t="s">
        <v>40</v>
      </c>
      <c r="D142" s="8" t="s">
        <v>46</v>
      </c>
      <c r="E142" s="8" t="s">
        <v>104</v>
      </c>
      <c r="F142" s="9" t="n">
        <v>45528</v>
      </c>
      <c r="G142" s="8" t="n">
        <f aca="true">IF(F142="","",ROUND((IF(H142="",TODAY(),H142)-F142)/7,1))</f>
        <v>11.6</v>
      </c>
      <c r="H142" s="9" t="n">
        <v>45609</v>
      </c>
      <c r="I142" s="8"/>
      <c r="J142" s="8" t="s">
        <v>1405</v>
      </c>
      <c r="K142" s="13" t="str">
        <f aca="false">IFERROR(VLOOKUP(B142,colony!$A:$T,16,FALSE()),"")</f>
        <v/>
      </c>
    </row>
    <row r="143" customFormat="false" ht="15" hidden="false" customHeight="false" outlineLevel="0" collapsed="false">
      <c r="A143" s="7" t="s">
        <v>1406</v>
      </c>
      <c r="B143" s="12"/>
      <c r="C143" s="8" t="s">
        <v>40</v>
      </c>
      <c r="D143" s="8" t="s">
        <v>33</v>
      </c>
      <c r="E143" s="8" t="s">
        <v>129</v>
      </c>
      <c r="F143" s="9" t="n">
        <v>45336</v>
      </c>
      <c r="G143" s="8" t="n">
        <f aca="true">IF(F143="","",ROUND((IF(H143="",TODAY(),H143)-F143)/7,1))</f>
        <v>39.1</v>
      </c>
      <c r="H143" s="9" t="n">
        <v>45610</v>
      </c>
      <c r="I143" s="8"/>
      <c r="J143" s="8" t="s">
        <v>1407</v>
      </c>
      <c r="K143" s="13" t="str">
        <f aca="false">IFERROR(VLOOKUP(B143,colony!$A:$T,16,FALSE()),"")</f>
        <v/>
      </c>
    </row>
    <row r="144" customFormat="false" ht="15" hidden="false" customHeight="false" outlineLevel="0" collapsed="false">
      <c r="A144" s="7" t="s">
        <v>1408</v>
      </c>
      <c r="B144" s="12"/>
      <c r="C144" s="8" t="s">
        <v>40</v>
      </c>
      <c r="D144" s="8" t="s">
        <v>33</v>
      </c>
      <c r="E144" s="8" t="s">
        <v>129</v>
      </c>
      <c r="F144" s="9" t="n">
        <v>45336</v>
      </c>
      <c r="G144" s="8" t="n">
        <f aca="true">IF(F144="","",ROUND((IF(H144="",TODAY(),H144)-F144)/7,1))</f>
        <v>39.1</v>
      </c>
      <c r="H144" s="9" t="n">
        <v>45610</v>
      </c>
      <c r="I144" s="8"/>
      <c r="J144" s="8" t="s">
        <v>1409</v>
      </c>
      <c r="K144" s="13" t="str">
        <f aca="false">IFERROR(VLOOKUP(B144,colony!$A:$T,16,FALSE()),"")</f>
        <v/>
      </c>
    </row>
    <row r="145" customFormat="false" ht="15" hidden="false" customHeight="false" outlineLevel="0" collapsed="false">
      <c r="A145" s="7" t="s">
        <v>1410</v>
      </c>
      <c r="B145" s="12"/>
      <c r="C145" s="8" t="s">
        <v>40</v>
      </c>
      <c r="D145" s="8" t="s">
        <v>33</v>
      </c>
      <c r="E145" s="8" t="s">
        <v>124</v>
      </c>
      <c r="F145" s="9" t="n">
        <v>45329</v>
      </c>
      <c r="G145" s="8" t="n">
        <f aca="true">IF(F145="","",ROUND((IF(H145="",TODAY(),H145)-F145)/7,1))</f>
        <v>40.3</v>
      </c>
      <c r="H145" s="9" t="n">
        <v>45611</v>
      </c>
      <c r="I145" s="8"/>
      <c r="J145" s="8" t="s">
        <v>1411</v>
      </c>
      <c r="K145" s="13" t="str">
        <f aca="false">IFERROR(VLOOKUP(B145,colony!$A:$T,16,FALSE()),"")</f>
        <v/>
      </c>
    </row>
    <row r="146" customFormat="false" ht="15" hidden="false" customHeight="false" outlineLevel="0" collapsed="false">
      <c r="A146" s="7" t="s">
        <v>1412</v>
      </c>
      <c r="B146" s="12"/>
      <c r="C146" s="8" t="s">
        <v>40</v>
      </c>
      <c r="D146" s="8" t="s">
        <v>33</v>
      </c>
      <c r="E146" s="8" t="s">
        <v>124</v>
      </c>
      <c r="F146" s="9" t="n">
        <v>45329</v>
      </c>
      <c r="G146" s="8" t="n">
        <f aca="true">IF(F146="","",ROUND((IF(H146="",TODAY(),H146)-F146)/7,1))</f>
        <v>40.3</v>
      </c>
      <c r="H146" s="9" t="n">
        <v>45611</v>
      </c>
      <c r="I146" s="8"/>
      <c r="J146" s="8" t="s">
        <v>1413</v>
      </c>
      <c r="K146" s="13" t="str">
        <f aca="false">IFERROR(VLOOKUP(B146,colony!$A:$T,16,FALSE()),"")</f>
        <v/>
      </c>
    </row>
    <row r="147" customFormat="false" ht="15" hidden="false" customHeight="false" outlineLevel="0" collapsed="false">
      <c r="A147" s="7" t="s">
        <v>1414</v>
      </c>
      <c r="B147" s="12"/>
      <c r="C147" s="8" t="s">
        <v>40</v>
      </c>
      <c r="D147" s="8" t="s">
        <v>46</v>
      </c>
      <c r="E147" s="8" t="s">
        <v>129</v>
      </c>
      <c r="F147" s="9" t="n">
        <v>45336</v>
      </c>
      <c r="G147" s="8" t="n">
        <f aca="true">IF(F147="","",ROUND((IF(H147="",TODAY(),H147)-F147)/7,1))</f>
        <v>40.1</v>
      </c>
      <c r="H147" s="9" t="n">
        <v>45617</v>
      </c>
      <c r="I147" s="8"/>
      <c r="J147" s="8" t="s">
        <v>1415</v>
      </c>
      <c r="K147" s="13" t="str">
        <f aca="false">IFERROR(VLOOKUP(B147,colony!$A:$T,16,FALSE()),"")</f>
        <v/>
      </c>
    </row>
    <row r="148" customFormat="false" ht="15" hidden="false" customHeight="false" outlineLevel="0" collapsed="false">
      <c r="A148" s="7" t="s">
        <v>1416</v>
      </c>
      <c r="B148" s="12"/>
      <c r="C148" s="8" t="s">
        <v>40</v>
      </c>
      <c r="D148" s="8" t="s">
        <v>46</v>
      </c>
      <c r="E148" s="8" t="s">
        <v>129</v>
      </c>
      <c r="F148" s="9" t="n">
        <v>45336</v>
      </c>
      <c r="G148" s="8" t="n">
        <f aca="true">IF(F148="","",ROUND((IF(H148="",TODAY(),H148)-F148)/7,1))</f>
        <v>41.3</v>
      </c>
      <c r="H148" s="9" t="n">
        <v>45625</v>
      </c>
      <c r="I148" s="8"/>
      <c r="J148" s="8" t="s">
        <v>1417</v>
      </c>
      <c r="K148" s="13" t="str">
        <f aca="false">IFERROR(VLOOKUP(B148,colony!$A:$T,16,FALSE()),"")</f>
        <v/>
      </c>
    </row>
    <row r="149" customFormat="false" ht="15" hidden="false" customHeight="false" outlineLevel="0" collapsed="false">
      <c r="A149" s="7" t="s">
        <v>1418</v>
      </c>
      <c r="B149" s="12"/>
      <c r="C149" s="8" t="s">
        <v>40</v>
      </c>
      <c r="D149" s="8" t="s">
        <v>46</v>
      </c>
      <c r="E149" s="8" t="s">
        <v>124</v>
      </c>
      <c r="F149" s="9" t="n">
        <v>45350</v>
      </c>
      <c r="G149" s="8" t="n">
        <f aca="true">IF(F149="","",ROUND((IF(H149="",TODAY(),H149)-F149)/7,1))</f>
        <v>39.3</v>
      </c>
      <c r="H149" s="9" t="n">
        <v>45625</v>
      </c>
      <c r="I149" s="8"/>
      <c r="J149" s="8" t="s">
        <v>1419</v>
      </c>
      <c r="K149" s="13" t="str">
        <f aca="false">IFERROR(VLOOKUP(B149,colony!$A:$T,16,FALSE()),"")</f>
        <v/>
      </c>
    </row>
    <row r="150" customFormat="false" ht="15" hidden="false" customHeight="false" outlineLevel="0" collapsed="false">
      <c r="A150" s="7" t="s">
        <v>1420</v>
      </c>
      <c r="B150" s="12"/>
      <c r="C150" s="8" t="s">
        <v>40</v>
      </c>
      <c r="D150" s="8" t="s">
        <v>33</v>
      </c>
      <c r="E150" s="8" t="s">
        <v>124</v>
      </c>
      <c r="F150" s="9" t="n">
        <v>45376</v>
      </c>
      <c r="G150" s="8" t="n">
        <f aca="true">IF(F150="","",ROUND((IF(H150="",TODAY(),H150)-F150)/7,1))</f>
        <v>36</v>
      </c>
      <c r="H150" s="9" t="n">
        <v>45628</v>
      </c>
      <c r="I150" s="8"/>
      <c r="J150" s="8" t="s">
        <v>1421</v>
      </c>
      <c r="K150" s="13" t="str">
        <f aca="false">IFERROR(VLOOKUP(B150,colony!$A:$T,16,FALSE()),"")</f>
        <v/>
      </c>
    </row>
    <row r="151" customFormat="false" ht="15" hidden="false" customHeight="false" outlineLevel="0" collapsed="false">
      <c r="A151" s="7" t="s">
        <v>1422</v>
      </c>
      <c r="B151" s="12"/>
      <c r="C151" s="8" t="s">
        <v>40</v>
      </c>
      <c r="D151" s="8" t="s">
        <v>33</v>
      </c>
      <c r="E151" s="8" t="s">
        <v>124</v>
      </c>
      <c r="F151" s="9" t="n">
        <v>45392</v>
      </c>
      <c r="G151" s="8" t="n">
        <f aca="true">IF(F151="","",ROUND((IF(H151="",TODAY(),H151)-F151)/7,1))</f>
        <v>33.9</v>
      </c>
      <c r="H151" s="9" t="n">
        <v>45629</v>
      </c>
      <c r="I151" s="8"/>
      <c r="J151" s="8" t="s">
        <v>1423</v>
      </c>
      <c r="K151" s="13" t="str">
        <f aca="false">IFERROR(VLOOKUP(B151,colony!$A:$T,16,FALSE()),"")</f>
        <v/>
      </c>
    </row>
    <row r="152" customFormat="false" ht="15" hidden="false" customHeight="false" outlineLevel="0" collapsed="false">
      <c r="A152" s="7" t="s">
        <v>1424</v>
      </c>
      <c r="B152" s="12"/>
      <c r="C152" s="8" t="s">
        <v>40</v>
      </c>
      <c r="D152" s="8" t="s">
        <v>46</v>
      </c>
      <c r="E152" s="8" t="s">
        <v>124</v>
      </c>
      <c r="F152" s="9" t="n">
        <v>45392</v>
      </c>
      <c r="G152" s="8" t="n">
        <f aca="true">IF(F152="","",ROUND((IF(H152="",TODAY(),H152)-F152)/7,1))</f>
        <v>33.9</v>
      </c>
      <c r="H152" s="9" t="n">
        <v>45629</v>
      </c>
      <c r="I152" s="8"/>
      <c r="J152" s="8" t="s">
        <v>1425</v>
      </c>
      <c r="K152" s="13" t="str">
        <f aca="false">IFERROR(VLOOKUP(B152,colony!$A:$T,16,FALSE()),"")</f>
        <v/>
      </c>
    </row>
    <row r="153" customFormat="false" ht="15" hidden="false" customHeight="false" outlineLevel="0" collapsed="false">
      <c r="A153" s="7" t="s">
        <v>1426</v>
      </c>
      <c r="B153" s="12"/>
      <c r="C153" s="8" t="s">
        <v>40</v>
      </c>
      <c r="D153" s="8" t="s">
        <v>33</v>
      </c>
      <c r="E153" s="8" t="s">
        <v>129</v>
      </c>
      <c r="F153" s="9" t="n">
        <v>45387</v>
      </c>
      <c r="G153" s="8" t="n">
        <f aca="true">IF(F153="","",ROUND((IF(H153="",TODAY(),H153)-F153)/7,1))</f>
        <v>34.7</v>
      </c>
      <c r="H153" s="9" t="n">
        <v>45630</v>
      </c>
      <c r="I153" s="8"/>
      <c r="J153" s="8" t="s">
        <v>1427</v>
      </c>
      <c r="K153" s="13" t="str">
        <f aca="false">IFERROR(VLOOKUP(B153,colony!$A:$T,16,FALSE()),"")</f>
        <v/>
      </c>
    </row>
    <row r="154" customFormat="false" ht="15" hidden="false" customHeight="false" outlineLevel="0" collapsed="false">
      <c r="A154" s="7" t="s">
        <v>1428</v>
      </c>
      <c r="B154" s="12"/>
      <c r="C154" s="8" t="s">
        <v>40</v>
      </c>
      <c r="D154" s="8" t="s">
        <v>46</v>
      </c>
      <c r="E154" s="8" t="s">
        <v>124</v>
      </c>
      <c r="F154" s="9" t="n">
        <v>45392</v>
      </c>
      <c r="G154" s="8" t="n">
        <f aca="true">IF(F154="","",ROUND((IF(H154="",TODAY(),H154)-F154)/7,1))</f>
        <v>34.7</v>
      </c>
      <c r="H154" s="9" t="n">
        <v>45635</v>
      </c>
      <c r="I154" s="8"/>
      <c r="J154" s="8" t="s">
        <v>1429</v>
      </c>
      <c r="K154" s="13" t="str">
        <f aca="false">IFERROR(VLOOKUP(B154,colony!$A:$T,16,FALSE()),"")</f>
        <v/>
      </c>
    </row>
    <row r="155" customFormat="false" ht="15" hidden="false" customHeight="false" outlineLevel="0" collapsed="false">
      <c r="A155" s="7" t="s">
        <v>1430</v>
      </c>
      <c r="B155" s="12"/>
      <c r="C155" s="8" t="s">
        <v>40</v>
      </c>
      <c r="D155" s="8" t="s">
        <v>46</v>
      </c>
      <c r="E155" s="8" t="s">
        <v>124</v>
      </c>
      <c r="F155" s="9" t="n">
        <v>45392</v>
      </c>
      <c r="G155" s="8" t="n">
        <f aca="true">IF(F155="","",ROUND((IF(H155="",TODAY(),H155)-F155)/7,1))</f>
        <v>34.7</v>
      </c>
      <c r="H155" s="9" t="n">
        <v>45635</v>
      </c>
      <c r="I155" s="8"/>
      <c r="J155" s="8" t="s">
        <v>1431</v>
      </c>
      <c r="K155" s="13" t="str">
        <f aca="false">IFERROR(VLOOKUP(B155,colony!$A:$T,16,FALSE()),"")</f>
        <v/>
      </c>
    </row>
    <row r="156" customFormat="false" ht="15" hidden="false" customHeight="false" outlineLevel="0" collapsed="false">
      <c r="A156" s="7" t="s">
        <v>1432</v>
      </c>
      <c r="B156" s="12"/>
      <c r="C156" s="8" t="s">
        <v>40</v>
      </c>
      <c r="D156" s="8" t="s">
        <v>33</v>
      </c>
      <c r="E156" s="8" t="s">
        <v>129</v>
      </c>
      <c r="F156" s="9" t="n">
        <v>45336</v>
      </c>
      <c r="G156" s="8" t="n">
        <f aca="true">IF(F156="","",ROUND((IF(H156="",TODAY(),H156)-F156)/7,1))</f>
        <v>42.9</v>
      </c>
      <c r="H156" s="9" t="n">
        <v>45636</v>
      </c>
      <c r="I156" s="8"/>
      <c r="J156" s="8" t="s">
        <v>1433</v>
      </c>
      <c r="K156" s="13" t="str">
        <f aca="false">IFERROR(VLOOKUP(B156,colony!$A:$T,16,FALSE()),"")</f>
        <v/>
      </c>
    </row>
    <row r="157" customFormat="false" ht="15" hidden="false" customHeight="false" outlineLevel="0" collapsed="false">
      <c r="A157" s="7" t="s">
        <v>1434</v>
      </c>
      <c r="B157" s="12"/>
      <c r="C157" s="8" t="s">
        <v>40</v>
      </c>
      <c r="D157" s="8" t="s">
        <v>33</v>
      </c>
      <c r="E157" s="8" t="s">
        <v>124</v>
      </c>
      <c r="F157" s="9" t="n">
        <v>45392</v>
      </c>
      <c r="G157" s="8" t="n">
        <f aca="true">IF(F157="","",ROUND((IF(H157="",TODAY(),H157)-F157)/7,1))</f>
        <v>35</v>
      </c>
      <c r="H157" s="9" t="n">
        <v>45637</v>
      </c>
      <c r="I157" s="8"/>
      <c r="J157" s="8" t="s">
        <v>1435</v>
      </c>
      <c r="K157" s="13" t="str">
        <f aca="false">IFERROR(VLOOKUP(B157,colony!$A:$T,16,FALSE()),"")</f>
        <v/>
      </c>
    </row>
    <row r="158" customFormat="false" ht="15" hidden="false" customHeight="false" outlineLevel="0" collapsed="false">
      <c r="A158" s="7" t="s">
        <v>1436</v>
      </c>
      <c r="B158" s="12"/>
      <c r="C158" s="8" t="s">
        <v>40</v>
      </c>
      <c r="D158" s="8" t="s">
        <v>33</v>
      </c>
      <c r="E158" s="8" t="s">
        <v>129</v>
      </c>
      <c r="F158" s="9" t="n">
        <v>45387</v>
      </c>
      <c r="G158" s="8" t="n">
        <f aca="true">IF(F158="","",ROUND((IF(H158="",TODAY(),H158)-F158)/7,1))</f>
        <v>35.9</v>
      </c>
      <c r="H158" s="9" t="n">
        <v>45638</v>
      </c>
      <c r="I158" s="8"/>
      <c r="J158" s="8" t="s">
        <v>1437</v>
      </c>
      <c r="K158" s="13" t="str">
        <f aca="false">IFERROR(VLOOKUP(B158,colony!$A:$T,16,FALSE()),"")</f>
        <v/>
      </c>
    </row>
    <row r="159" customFormat="false" ht="15" hidden="false" customHeight="false" outlineLevel="0" collapsed="false">
      <c r="A159" s="7" t="s">
        <v>1438</v>
      </c>
      <c r="B159" s="12"/>
      <c r="C159" s="8" t="s">
        <v>40</v>
      </c>
      <c r="D159" s="8" t="s">
        <v>46</v>
      </c>
      <c r="E159" s="8" t="s">
        <v>129</v>
      </c>
      <c r="F159" s="9" t="n">
        <v>45387</v>
      </c>
      <c r="G159" s="8" t="n">
        <f aca="true">IF(F159="","",ROUND((IF(H159="",TODAY(),H159)-F159)/7,1))</f>
        <v>35.9</v>
      </c>
      <c r="H159" s="9" t="n">
        <v>45638</v>
      </c>
      <c r="I159" s="8"/>
      <c r="J159" s="8" t="s">
        <v>1439</v>
      </c>
      <c r="K159" s="13" t="str">
        <f aca="false">IFERROR(VLOOKUP(B159,colony!$A:$T,16,FALSE()),"")</f>
        <v/>
      </c>
    </row>
    <row r="160" customFormat="false" ht="15" hidden="false" customHeight="false" outlineLevel="0" collapsed="false">
      <c r="A160" s="7" t="s">
        <v>1440</v>
      </c>
      <c r="B160" s="12"/>
      <c r="C160" s="8" t="s">
        <v>40</v>
      </c>
      <c r="D160" s="8" t="s">
        <v>33</v>
      </c>
      <c r="E160" s="8" t="s">
        <v>124</v>
      </c>
      <c r="F160" s="9" t="n">
        <v>45392</v>
      </c>
      <c r="G160" s="8" t="n">
        <f aca="true">IF(F160="","",ROUND((IF(H160="",TODAY(),H160)-F160)/7,1))</f>
        <v>35.3</v>
      </c>
      <c r="H160" s="9" t="n">
        <v>45639</v>
      </c>
      <c r="I160" s="8"/>
      <c r="J160" s="8" t="s">
        <v>1441</v>
      </c>
      <c r="K160" s="13" t="str">
        <f aca="false">IFERROR(VLOOKUP(B160,colony!$A:$T,16,FALSE()),"")</f>
        <v/>
      </c>
    </row>
    <row r="161" customFormat="false" ht="15" hidden="false" customHeight="false" outlineLevel="0" collapsed="false">
      <c r="A161" s="7" t="s">
        <v>1442</v>
      </c>
      <c r="B161" s="12"/>
      <c r="C161" s="8" t="s">
        <v>40</v>
      </c>
      <c r="D161" s="8" t="s">
        <v>46</v>
      </c>
      <c r="E161" s="8" t="s">
        <v>124</v>
      </c>
      <c r="F161" s="9" t="n">
        <v>45392</v>
      </c>
      <c r="G161" s="8" t="n">
        <f aca="true">IF(F161="","",ROUND((IF(H161="",TODAY(),H161)-F161)/7,1))</f>
        <v>35.3</v>
      </c>
      <c r="H161" s="9" t="n">
        <v>45639</v>
      </c>
      <c r="I161" s="8"/>
      <c r="J161" s="8" t="s">
        <v>1443</v>
      </c>
      <c r="K161" s="13" t="str">
        <f aca="false">IFERROR(VLOOKUP(B161,colony!$A:$T,16,FALSE()),"")</f>
        <v/>
      </c>
    </row>
    <row r="162" customFormat="false" ht="15" hidden="false" customHeight="false" outlineLevel="0" collapsed="false">
      <c r="A162" s="7" t="s">
        <v>1444</v>
      </c>
      <c r="B162" s="12"/>
      <c r="C162" s="8" t="s">
        <v>40</v>
      </c>
      <c r="D162" s="8" t="s">
        <v>46</v>
      </c>
      <c r="E162" s="8" t="s">
        <v>124</v>
      </c>
      <c r="F162" s="9" t="n">
        <v>45236</v>
      </c>
      <c r="G162" s="8" t="n">
        <f aca="true">IF(F162="","",ROUND((IF(H162="",TODAY(),H162)-F162)/7,1))</f>
        <v>59.4</v>
      </c>
      <c r="H162" s="9" t="n">
        <v>45652</v>
      </c>
      <c r="I162" s="8" t="s">
        <v>81</v>
      </c>
      <c r="J162" s="8" t="s">
        <v>1445</v>
      </c>
      <c r="K162" s="13" t="str">
        <f aca="false">IFERROR(VLOOKUP(B162,colony!$A:$T,16,FALSE()),"")</f>
        <v/>
      </c>
    </row>
    <row r="163" customFormat="false" ht="15" hidden="false" customHeight="false" outlineLevel="0" collapsed="false">
      <c r="A163" s="7" t="s">
        <v>1446</v>
      </c>
      <c r="B163" s="12"/>
      <c r="C163" s="8" t="s">
        <v>40</v>
      </c>
      <c r="D163" s="8" t="s">
        <v>46</v>
      </c>
      <c r="E163" s="8" t="s">
        <v>104</v>
      </c>
      <c r="F163" s="9" t="n">
        <v>45238</v>
      </c>
      <c r="G163" s="8" t="n">
        <f aca="true">IF(F163="","",ROUND((IF(H163="",TODAY(),H163)-F163)/7,1))</f>
        <v>60.9</v>
      </c>
      <c r="H163" s="9" t="n">
        <v>45664</v>
      </c>
      <c r="I163" s="8" t="s">
        <v>81</v>
      </c>
      <c r="J163" s="8" t="s">
        <v>1447</v>
      </c>
      <c r="K163" s="13" t="str">
        <f aca="false">IFERROR(VLOOKUP(B163,colony!$A:$T,16,FALSE()),"")</f>
        <v/>
      </c>
    </row>
    <row r="164" customFormat="false" ht="15" hidden="false" customHeight="false" outlineLevel="0" collapsed="false">
      <c r="A164" s="7" t="s">
        <v>1448</v>
      </c>
      <c r="B164" s="12"/>
      <c r="C164" s="8" t="s">
        <v>40</v>
      </c>
      <c r="D164" s="8" t="s">
        <v>46</v>
      </c>
      <c r="E164" s="8" t="s">
        <v>104</v>
      </c>
      <c r="F164" s="9" t="n">
        <v>45238</v>
      </c>
      <c r="G164" s="8" t="n">
        <f aca="true">IF(F164="","",ROUND((IF(H164="",TODAY(),H164)-F164)/7,1))</f>
        <v>60.9</v>
      </c>
      <c r="H164" s="9" t="n">
        <v>45664</v>
      </c>
      <c r="I164" s="8" t="s">
        <v>81</v>
      </c>
      <c r="J164" s="8" t="s">
        <v>1449</v>
      </c>
      <c r="K164" s="13" t="str">
        <f aca="false">IFERROR(VLOOKUP(B164,colony!$A:$T,16,FALSE()),"")</f>
        <v/>
      </c>
    </row>
    <row r="165" customFormat="false" ht="15" hidden="false" customHeight="false" outlineLevel="0" collapsed="false">
      <c r="A165" s="7" t="s">
        <v>1450</v>
      </c>
      <c r="B165" s="12"/>
      <c r="C165" s="8" t="s">
        <v>40</v>
      </c>
      <c r="D165" s="8" t="s">
        <v>33</v>
      </c>
      <c r="E165" s="8" t="s">
        <v>104</v>
      </c>
      <c r="F165" s="9" t="n">
        <v>45642</v>
      </c>
      <c r="G165" s="8" t="n">
        <f aca="true">IF(F165="","",ROUND((IF(H165="",TODAY(),H165)-F165)/7,1))</f>
        <v>3.6</v>
      </c>
      <c r="H165" s="9" t="n">
        <v>45667</v>
      </c>
      <c r="I165" s="8"/>
      <c r="J165" s="8" t="s">
        <v>1451</v>
      </c>
      <c r="K165" s="13" t="str">
        <f aca="false">IFERROR(VLOOKUP(B165,colony!$A:$T,16,FALSE()),"")</f>
        <v/>
      </c>
    </row>
    <row r="166" customFormat="false" ht="15" hidden="false" customHeight="false" outlineLevel="0" collapsed="false">
      <c r="A166" s="7" t="s">
        <v>1452</v>
      </c>
      <c r="B166" s="12"/>
      <c r="C166" s="8" t="s">
        <v>40</v>
      </c>
      <c r="D166" s="8" t="s">
        <v>33</v>
      </c>
      <c r="E166" s="8" t="s">
        <v>108</v>
      </c>
      <c r="F166" s="9" t="n">
        <v>45615</v>
      </c>
      <c r="G166" s="8" t="n">
        <f aca="true">IF(F166="","",ROUND((IF(H166="",TODAY(),H166)-F166)/7,1))</f>
        <v>11.1</v>
      </c>
      <c r="H166" s="9" t="n">
        <v>45693</v>
      </c>
      <c r="I166" s="8"/>
      <c r="J166" s="8" t="s">
        <v>1453</v>
      </c>
      <c r="K166" s="13" t="str">
        <f aca="false">IFERROR(VLOOKUP(B166,colony!$A:$T,16,FALSE()),"")</f>
        <v/>
      </c>
    </row>
    <row r="167" customFormat="false" ht="15" hidden="false" customHeight="false" outlineLevel="0" collapsed="false">
      <c r="A167" s="7" t="s">
        <v>1454</v>
      </c>
      <c r="B167" s="12"/>
      <c r="C167" s="8" t="s">
        <v>40</v>
      </c>
      <c r="D167" s="8" t="s">
        <v>33</v>
      </c>
      <c r="E167" s="8" t="s">
        <v>104</v>
      </c>
      <c r="F167" s="9" t="n">
        <v>45609</v>
      </c>
      <c r="G167" s="8" t="n">
        <f aca="true">IF(F167="","",ROUND((IF(H167="",TODAY(),H167)-F167)/7,1))</f>
        <v>9</v>
      </c>
      <c r="H167" s="9" t="n">
        <v>45672</v>
      </c>
      <c r="I167" s="8" t="s">
        <v>45</v>
      </c>
      <c r="J167" s="8" t="s">
        <v>104</v>
      </c>
      <c r="K167" s="13" t="str">
        <f aca="false">IFERROR(VLOOKUP(B167,colony!$A:$T,16,FALSE()),"")</f>
        <v/>
      </c>
    </row>
    <row r="168" customFormat="false" ht="15" hidden="false" customHeight="false" outlineLevel="0" collapsed="false">
      <c r="A168" s="7" t="s">
        <v>1455</v>
      </c>
      <c r="B168" s="12"/>
      <c r="C168" s="8" t="s">
        <v>40</v>
      </c>
      <c r="D168" s="8" t="s">
        <v>46</v>
      </c>
      <c r="E168" s="8" t="s">
        <v>114</v>
      </c>
      <c r="F168" s="9" t="n">
        <v>45532</v>
      </c>
      <c r="G168" s="8" t="n">
        <f aca="true">IF(F168="","",ROUND((IF(H168="",TODAY(),H168)-F168)/7,1))</f>
        <v>20.3</v>
      </c>
      <c r="H168" s="9" t="n">
        <v>45674</v>
      </c>
      <c r="I168" s="8"/>
      <c r="J168" s="8" t="s">
        <v>1456</v>
      </c>
      <c r="K168" s="13" t="str">
        <f aca="false">IFERROR(VLOOKUP(B168,colony!$A:$T,16,FALSE()),"")</f>
        <v/>
      </c>
    </row>
    <row r="169" customFormat="false" ht="15" hidden="false" customHeight="false" outlineLevel="0" collapsed="false">
      <c r="A169" s="7" t="s">
        <v>1457</v>
      </c>
      <c r="B169" s="12"/>
      <c r="C169" s="8" t="s">
        <v>40</v>
      </c>
      <c r="D169" s="8" t="s">
        <v>33</v>
      </c>
      <c r="E169" s="8" t="s">
        <v>114</v>
      </c>
      <c r="F169" s="9" t="n">
        <v>45559</v>
      </c>
      <c r="G169" s="8" t="n">
        <f aca="true">IF(F169="","",ROUND((IF(H169="",TODAY(),H169)-F169)/7,1))</f>
        <v>17</v>
      </c>
      <c r="H169" s="9" t="n">
        <v>45678</v>
      </c>
      <c r="I169" s="8"/>
      <c r="J169" s="8" t="s">
        <v>1458</v>
      </c>
      <c r="K169" s="13" t="str">
        <f aca="false">IFERROR(VLOOKUP(B169,colony!$A:$T,16,FALSE()),"")</f>
        <v/>
      </c>
    </row>
    <row r="170" customFormat="false" ht="15" hidden="false" customHeight="false" outlineLevel="0" collapsed="false">
      <c r="A170" s="7" t="s">
        <v>1459</v>
      </c>
      <c r="B170" s="12"/>
      <c r="C170" s="8" t="s">
        <v>40</v>
      </c>
      <c r="D170" s="8" t="s">
        <v>33</v>
      </c>
      <c r="E170" s="8" t="s">
        <v>104</v>
      </c>
      <c r="F170" s="9" t="n">
        <v>45512</v>
      </c>
      <c r="G170" s="8" t="n">
        <f aca="true">IF(F170="","",ROUND((IF(H170="",TODAY(),H170)-F170)/7,1))</f>
        <v>24</v>
      </c>
      <c r="H170" s="9" t="n">
        <v>45680</v>
      </c>
      <c r="I170" s="8"/>
      <c r="J170" s="8" t="s">
        <v>1451</v>
      </c>
      <c r="K170" s="13" t="str">
        <f aca="false">IFERROR(VLOOKUP(B170,colony!$A:$T,16,FALSE()),"")</f>
        <v/>
      </c>
    </row>
    <row r="171" customFormat="false" ht="15" hidden="false" customHeight="false" outlineLevel="0" collapsed="false">
      <c r="A171" s="7" t="s">
        <v>1460</v>
      </c>
      <c r="B171" s="12"/>
      <c r="C171" s="8" t="s">
        <v>40</v>
      </c>
      <c r="D171" s="8" t="s">
        <v>33</v>
      </c>
      <c r="E171" s="8" t="s">
        <v>114</v>
      </c>
      <c r="F171" s="9" t="n">
        <v>45559</v>
      </c>
      <c r="G171" s="8" t="n">
        <f aca="true">IF(F171="","",ROUND((IF(H171="",TODAY(),H171)-F171)/7,1))</f>
        <v>18.1</v>
      </c>
      <c r="H171" s="9" t="n">
        <v>45686</v>
      </c>
      <c r="I171" s="8"/>
      <c r="J171" s="8" t="s">
        <v>1461</v>
      </c>
      <c r="K171" s="13" t="str">
        <f aca="false">IFERROR(VLOOKUP(B171,colony!$A:$T,16,FALSE()),"")</f>
        <v/>
      </c>
    </row>
    <row r="172" customFormat="false" ht="15" hidden="false" customHeight="false" outlineLevel="0" collapsed="false">
      <c r="A172" s="7" t="s">
        <v>1462</v>
      </c>
      <c r="B172" s="12"/>
      <c r="C172" s="8" t="s">
        <v>40</v>
      </c>
      <c r="D172" s="8" t="s">
        <v>46</v>
      </c>
      <c r="E172" s="8" t="s">
        <v>104</v>
      </c>
      <c r="F172" s="9" t="n">
        <v>45506</v>
      </c>
      <c r="G172" s="8" t="n">
        <f aca="true">IF(F172="","",ROUND((IF(H172="",TODAY(),H172)-F172)/7,1))</f>
        <v>25.7</v>
      </c>
      <c r="H172" s="9" t="n">
        <v>45686</v>
      </c>
      <c r="I172" s="8"/>
      <c r="J172" s="8" t="s">
        <v>1451</v>
      </c>
      <c r="K172" s="13" t="str">
        <f aca="false">IFERROR(VLOOKUP(B172,colony!$A:$T,16,FALSE()),"")</f>
        <v/>
      </c>
    </row>
    <row r="173" customFormat="false" ht="15" hidden="false" customHeight="false" outlineLevel="0" collapsed="false">
      <c r="A173" s="7" t="s">
        <v>1463</v>
      </c>
      <c r="B173" s="12"/>
      <c r="C173" s="8" t="s">
        <v>40</v>
      </c>
      <c r="D173" s="8" t="s">
        <v>46</v>
      </c>
      <c r="E173" s="8" t="s">
        <v>104</v>
      </c>
      <c r="F173" s="9" t="n">
        <v>45506</v>
      </c>
      <c r="G173" s="8" t="n">
        <f aca="true">IF(F173="","",ROUND((IF(H173="",TODAY(),H173)-F173)/7,1))</f>
        <v>25.7</v>
      </c>
      <c r="H173" s="9" t="n">
        <v>45686</v>
      </c>
      <c r="I173" s="8"/>
      <c r="J173" s="8" t="s">
        <v>1451</v>
      </c>
      <c r="K173" s="13" t="str">
        <f aca="false">IFERROR(VLOOKUP(B173,colony!$A:$T,16,FALSE()),"")</f>
        <v/>
      </c>
    </row>
    <row r="174" customFormat="false" ht="15" hidden="false" customHeight="false" outlineLevel="0" collapsed="false">
      <c r="A174" s="7" t="s">
        <v>1464</v>
      </c>
      <c r="B174" s="12"/>
      <c r="C174" s="8" t="s">
        <v>40</v>
      </c>
      <c r="D174" s="8" t="s">
        <v>33</v>
      </c>
      <c r="E174" s="8" t="s">
        <v>114</v>
      </c>
      <c r="F174" s="9" t="n">
        <v>45559</v>
      </c>
      <c r="G174" s="8" t="n">
        <f aca="true">IF(F174="","",ROUND((IF(H174="",TODAY(),H174)-F174)/7,1))</f>
        <v>18.4</v>
      </c>
      <c r="H174" s="9" t="n">
        <v>45688</v>
      </c>
      <c r="I174" s="8"/>
      <c r="J174" s="8" t="s">
        <v>1465</v>
      </c>
      <c r="K174" s="13" t="str">
        <f aca="false">IFERROR(VLOOKUP(B174,colony!$A:$T,16,FALSE()),"")</f>
        <v/>
      </c>
    </row>
    <row r="175" customFormat="false" ht="15" hidden="false" customHeight="false" outlineLevel="0" collapsed="false">
      <c r="A175" s="7" t="s">
        <v>1466</v>
      </c>
      <c r="B175" s="12"/>
      <c r="C175" s="8" t="s">
        <v>40</v>
      </c>
      <c r="D175" s="8" t="s">
        <v>33</v>
      </c>
      <c r="E175" s="8" t="s">
        <v>124</v>
      </c>
      <c r="F175" s="9" t="n">
        <v>45392</v>
      </c>
      <c r="G175" s="8" t="n">
        <f aca="true">IF(F175="","",ROUND((IF(H175="",TODAY(),H175)-F175)/7,1))</f>
        <v>42.1</v>
      </c>
      <c r="H175" s="9" t="n">
        <v>45687</v>
      </c>
      <c r="I175" s="8"/>
      <c r="J175" s="8" t="s">
        <v>1467</v>
      </c>
      <c r="K175" s="13" t="str">
        <f aca="false">IFERROR(VLOOKUP(B175,colony!$A:$T,16,FALSE()),"")</f>
        <v/>
      </c>
    </row>
    <row r="176" customFormat="false" ht="15" hidden="false" customHeight="false" outlineLevel="0" collapsed="false">
      <c r="A176" s="7" t="s">
        <v>1468</v>
      </c>
      <c r="B176" s="12"/>
      <c r="C176" s="8" t="s">
        <v>40</v>
      </c>
      <c r="D176" s="8" t="s">
        <v>46</v>
      </c>
      <c r="E176" s="8" t="s">
        <v>124</v>
      </c>
      <c r="F176" s="9" t="n">
        <v>45392</v>
      </c>
      <c r="G176" s="8" t="n">
        <f aca="true">IF(F176="","",ROUND((IF(H176="",TODAY(),H176)-F176)/7,1))</f>
        <v>42.1</v>
      </c>
      <c r="H176" s="9" t="n">
        <v>45687</v>
      </c>
      <c r="I176" s="8"/>
      <c r="J176" s="8" t="s">
        <v>1469</v>
      </c>
      <c r="K176" s="13" t="str">
        <f aca="false">IFERROR(VLOOKUP(B176,colony!$A:$T,16,FALSE()),"")</f>
        <v/>
      </c>
    </row>
    <row r="177" customFormat="false" ht="15" hidden="false" customHeight="false" outlineLevel="0" collapsed="false">
      <c r="A177" s="7" t="s">
        <v>1470</v>
      </c>
      <c r="B177" s="12"/>
      <c r="C177" s="8" t="s">
        <v>40</v>
      </c>
      <c r="D177" s="8" t="s">
        <v>33</v>
      </c>
      <c r="E177" s="8" t="s">
        <v>104</v>
      </c>
      <c r="F177" s="9" t="n">
        <v>45447</v>
      </c>
      <c r="G177" s="8" t="n">
        <f aca="true">IF(F177="","",ROUND((IF(H177="",TODAY(),H177)-F177)/7,1))</f>
        <v>34.3</v>
      </c>
      <c r="H177" s="9" t="n">
        <v>45687</v>
      </c>
      <c r="I177" s="8"/>
      <c r="J177" s="8" t="s">
        <v>1451</v>
      </c>
      <c r="K177" s="13" t="str">
        <f aca="false">IFERROR(VLOOKUP(B177,colony!$A:$T,16,FALSE()),"")</f>
        <v/>
      </c>
    </row>
    <row r="178" customFormat="false" ht="15" hidden="false" customHeight="false" outlineLevel="0" collapsed="false">
      <c r="A178" s="7" t="s">
        <v>1471</v>
      </c>
      <c r="B178" s="12"/>
      <c r="C178" s="8" t="s">
        <v>40</v>
      </c>
      <c r="D178" s="8" t="s">
        <v>46</v>
      </c>
      <c r="E178" s="8" t="s">
        <v>129</v>
      </c>
      <c r="F178" s="9" t="n">
        <v>45414</v>
      </c>
      <c r="G178" s="8" t="n">
        <f aca="true">IF(F178="","",ROUND((IF(H178="",TODAY(),H178)-F178)/7,1))</f>
        <v>39</v>
      </c>
      <c r="H178" s="9" t="n">
        <v>45687</v>
      </c>
      <c r="I178" s="8"/>
      <c r="J178" s="8" t="s">
        <v>1472</v>
      </c>
      <c r="K178" s="13" t="str">
        <f aca="false">IFERROR(VLOOKUP(B178,colony!$A:$T,16,FALSE()),"")</f>
        <v/>
      </c>
    </row>
    <row r="179" customFormat="false" ht="15" hidden="false" customHeight="false" outlineLevel="0" collapsed="false">
      <c r="A179" s="7" t="s">
        <v>1473</v>
      </c>
      <c r="B179" s="12"/>
      <c r="C179" s="8" t="s">
        <v>40</v>
      </c>
      <c r="D179" s="8" t="s">
        <v>33</v>
      </c>
      <c r="E179" s="8" t="s">
        <v>129</v>
      </c>
      <c r="F179" s="9" t="n">
        <v>45452</v>
      </c>
      <c r="G179" s="8" t="n">
        <f aca="true">IF(F179="","",ROUND((IF(H179="",TODAY(),H179)-F179)/7,1))</f>
        <v>33.6</v>
      </c>
      <c r="H179" s="9" t="n">
        <v>45687</v>
      </c>
      <c r="I179" s="8"/>
      <c r="J179" s="8" t="s">
        <v>1474</v>
      </c>
      <c r="K179" s="13" t="str">
        <f aca="false">IFERROR(VLOOKUP(B179,colony!$A:$T,16,FALSE()),"")</f>
        <v/>
      </c>
    </row>
    <row r="180" customFormat="false" ht="15" hidden="false" customHeight="false" outlineLevel="0" collapsed="false">
      <c r="A180" s="7" t="s">
        <v>1475</v>
      </c>
      <c r="B180" s="12"/>
      <c r="C180" s="8" t="s">
        <v>40</v>
      </c>
      <c r="D180" s="8" t="s">
        <v>33</v>
      </c>
      <c r="E180" s="8" t="s">
        <v>129</v>
      </c>
      <c r="F180" s="9" t="n">
        <v>45460</v>
      </c>
      <c r="G180" s="8" t="n">
        <f aca="true">IF(F180="","",ROUND((IF(H180="",TODAY(),H180)-F180)/7,1))</f>
        <v>32.4</v>
      </c>
      <c r="H180" s="9" t="n">
        <v>45687</v>
      </c>
      <c r="I180" s="8"/>
      <c r="J180" s="8" t="s">
        <v>1476</v>
      </c>
      <c r="K180" s="13" t="str">
        <f aca="false">IFERROR(VLOOKUP(B180,colony!$A:$T,16,FALSE()),"")</f>
        <v/>
      </c>
    </row>
    <row r="181" customFormat="false" ht="15" hidden="false" customHeight="false" outlineLevel="0" collapsed="false">
      <c r="A181" s="7" t="s">
        <v>1477</v>
      </c>
      <c r="B181" s="12"/>
      <c r="C181" s="8" t="s">
        <v>40</v>
      </c>
      <c r="D181" s="8" t="s">
        <v>33</v>
      </c>
      <c r="E181" s="8" t="s">
        <v>124</v>
      </c>
      <c r="F181" s="9" t="n">
        <v>45392</v>
      </c>
      <c r="G181" s="8" t="n">
        <f aca="true">IF(F181="","",ROUND((IF(H181="",TODAY(),H181)-F181)/7,1))</f>
        <v>42.3</v>
      </c>
      <c r="H181" s="9" t="n">
        <v>45688</v>
      </c>
      <c r="I181" s="8"/>
      <c r="J181" s="8" t="s">
        <v>1478</v>
      </c>
      <c r="K181" s="13" t="str">
        <f aca="false">IFERROR(VLOOKUP(B181,colony!$A:$T,16,FALSE()),"")</f>
        <v/>
      </c>
    </row>
    <row r="182" customFormat="false" ht="15" hidden="false" customHeight="false" outlineLevel="0" collapsed="false">
      <c r="A182" s="7" t="s">
        <v>1479</v>
      </c>
      <c r="B182" s="12"/>
      <c r="C182" s="8" t="s">
        <v>40</v>
      </c>
      <c r="D182" s="8" t="s">
        <v>46</v>
      </c>
      <c r="E182" s="8" t="s">
        <v>124</v>
      </c>
      <c r="F182" s="9" t="n">
        <v>45404</v>
      </c>
      <c r="G182" s="8" t="n">
        <f aca="true">IF(F182="","",ROUND((IF(H182="",TODAY(),H182)-F182)/7,1))</f>
        <v>40.6</v>
      </c>
      <c r="H182" s="9" t="n">
        <v>45688</v>
      </c>
      <c r="I182" s="8"/>
      <c r="J182" s="8" t="s">
        <v>1480</v>
      </c>
      <c r="K182" s="13" t="str">
        <f aca="false">IFERROR(VLOOKUP(B182,colony!$A:$T,16,FALSE()),"")</f>
        <v/>
      </c>
    </row>
    <row r="183" customFormat="false" ht="15" hidden="false" customHeight="false" outlineLevel="0" collapsed="false">
      <c r="A183" s="7" t="s">
        <v>1481</v>
      </c>
      <c r="B183" s="12"/>
      <c r="C183" s="8" t="s">
        <v>40</v>
      </c>
      <c r="D183" s="8" t="s">
        <v>46</v>
      </c>
      <c r="E183" s="8" t="s">
        <v>124</v>
      </c>
      <c r="F183" s="9" t="n">
        <v>45404</v>
      </c>
      <c r="G183" s="8" t="n">
        <f aca="true">IF(F183="","",ROUND((IF(H183="",TODAY(),H183)-F183)/7,1))</f>
        <v>40.6</v>
      </c>
      <c r="H183" s="9" t="n">
        <v>45688</v>
      </c>
      <c r="I183" s="8"/>
      <c r="J183" s="8" t="s">
        <v>1482</v>
      </c>
      <c r="K183" s="13" t="str">
        <f aca="false">IFERROR(VLOOKUP(B183,colony!$A:$T,16,FALSE()),"")</f>
        <v/>
      </c>
    </row>
    <row r="184" customFormat="false" ht="15" hidden="false" customHeight="false" outlineLevel="0" collapsed="false">
      <c r="A184" s="7" t="s">
        <v>1483</v>
      </c>
      <c r="B184" s="12"/>
      <c r="C184" s="8" t="s">
        <v>40</v>
      </c>
      <c r="D184" s="8" t="s">
        <v>46</v>
      </c>
      <c r="E184" s="8" t="s">
        <v>129</v>
      </c>
      <c r="F184" s="9" t="n">
        <v>45403</v>
      </c>
      <c r="G184" s="8" t="n">
        <f aca="true">IF(F184="","",ROUND((IF(H184="",TODAY(),H184)-F184)/7,1))</f>
        <v>40.7</v>
      </c>
      <c r="H184" s="9" t="n">
        <v>45688</v>
      </c>
      <c r="I184" s="8"/>
      <c r="J184" s="8" t="s">
        <v>1484</v>
      </c>
      <c r="K184" s="13" t="str">
        <f aca="false">IFERROR(VLOOKUP(B184,colony!$A:$T,16,FALSE()),"")</f>
        <v/>
      </c>
    </row>
    <row r="185" customFormat="false" ht="15" hidden="false" customHeight="false" outlineLevel="0" collapsed="false">
      <c r="A185" s="7" t="s">
        <v>1485</v>
      </c>
      <c r="B185" s="12"/>
      <c r="C185" s="8" t="s">
        <v>40</v>
      </c>
      <c r="D185" s="8" t="s">
        <v>33</v>
      </c>
      <c r="E185" s="8" t="s">
        <v>129</v>
      </c>
      <c r="F185" s="9" t="n">
        <v>45452</v>
      </c>
      <c r="G185" s="8" t="n">
        <f aca="true">IF(F185="","",ROUND((IF(H185="",TODAY(),H185)-F185)/7,1))</f>
        <v>33.7</v>
      </c>
      <c r="H185" s="9" t="n">
        <v>45688</v>
      </c>
      <c r="I185" s="8"/>
      <c r="J185" s="8" t="s">
        <v>1486</v>
      </c>
      <c r="K185" s="13" t="str">
        <f aca="false">IFERROR(VLOOKUP(B185,colony!$A:$T,16,FALSE()),"")</f>
        <v/>
      </c>
    </row>
    <row r="186" customFormat="false" ht="15" hidden="false" customHeight="false" outlineLevel="0" collapsed="false">
      <c r="A186" s="7" t="s">
        <v>1487</v>
      </c>
      <c r="B186" s="12"/>
      <c r="C186" s="8" t="s">
        <v>40</v>
      </c>
      <c r="D186" s="8" t="s">
        <v>46</v>
      </c>
      <c r="E186" s="8" t="s">
        <v>129</v>
      </c>
      <c r="F186" s="9" t="n">
        <v>45460</v>
      </c>
      <c r="G186" s="8" t="n">
        <f aca="true">IF(F186="","",ROUND((IF(H186="",TODAY(),H186)-F186)/7,1))</f>
        <v>32.6</v>
      </c>
      <c r="H186" s="9" t="n">
        <v>45688</v>
      </c>
      <c r="I186" s="8"/>
      <c r="J186" s="8" t="s">
        <v>1488</v>
      </c>
      <c r="K186" s="13" t="str">
        <f aca="false">IFERROR(VLOOKUP(B186,colony!$A:$T,16,FALSE()),"")</f>
        <v/>
      </c>
    </row>
    <row r="187" customFormat="false" ht="15" hidden="false" customHeight="false" outlineLevel="0" collapsed="false">
      <c r="A187" s="7" t="s">
        <v>1489</v>
      </c>
      <c r="B187" s="12"/>
      <c r="C187" s="8" t="s">
        <v>40</v>
      </c>
      <c r="D187" s="8" t="s">
        <v>33</v>
      </c>
      <c r="E187" s="8" t="s">
        <v>114</v>
      </c>
      <c r="F187" s="9" t="n">
        <v>45559</v>
      </c>
      <c r="G187" s="8" t="n">
        <f aca="true">IF(F187="","",ROUND((IF(H187="",TODAY(),H187)-F187)/7,1))</f>
        <v>20.1</v>
      </c>
      <c r="H187" s="9" t="n">
        <v>45700</v>
      </c>
      <c r="I187" s="8"/>
      <c r="J187" s="8" t="s">
        <v>1490</v>
      </c>
      <c r="K187" s="13" t="str">
        <f aca="false">IFERROR(VLOOKUP(B187,colony!$A:$T,16,FALSE()),"")</f>
        <v/>
      </c>
    </row>
    <row r="188" customFormat="false" ht="15" hidden="false" customHeight="false" outlineLevel="0" collapsed="false">
      <c r="A188" s="7" t="s">
        <v>1491</v>
      </c>
      <c r="B188" s="12"/>
      <c r="C188" s="8" t="s">
        <v>40</v>
      </c>
      <c r="D188" s="8" t="s">
        <v>46</v>
      </c>
      <c r="E188" s="8" t="s">
        <v>114</v>
      </c>
      <c r="F188" s="9" t="n">
        <v>45559</v>
      </c>
      <c r="G188" s="8" t="n">
        <f aca="true">IF(F188="","",ROUND((IF(H188="",TODAY(),H188)-F188)/7,1))</f>
        <v>20.4</v>
      </c>
      <c r="H188" s="9" t="n">
        <v>45702</v>
      </c>
      <c r="I188" s="8"/>
      <c r="J188" s="8" t="s">
        <v>1492</v>
      </c>
      <c r="K188" s="13" t="str">
        <f aca="false">IFERROR(VLOOKUP(B188,colony!$A:$T,16,FALSE()),"")</f>
        <v/>
      </c>
    </row>
    <row r="189" customFormat="false" ht="15" hidden="false" customHeight="false" outlineLevel="0" collapsed="false">
      <c r="A189" s="7" t="s">
        <v>1493</v>
      </c>
      <c r="B189" s="12"/>
      <c r="C189" s="8" t="s">
        <v>40</v>
      </c>
      <c r="D189" s="8" t="s">
        <v>46</v>
      </c>
      <c r="E189" s="8" t="s">
        <v>114</v>
      </c>
      <c r="F189" s="9" t="n">
        <v>45559</v>
      </c>
      <c r="G189" s="8" t="n">
        <f aca="true">IF(F189="","",ROUND((IF(H189="",TODAY(),H189)-F189)/7,1))</f>
        <v>21.4</v>
      </c>
      <c r="H189" s="9" t="n">
        <v>45709</v>
      </c>
      <c r="I189" s="8"/>
      <c r="J189" s="8" t="s">
        <v>1494</v>
      </c>
      <c r="K189" s="13" t="str">
        <f aca="false">IFERROR(VLOOKUP(B189,colony!$A:$T,16,FALSE()),"")</f>
        <v/>
      </c>
    </row>
    <row r="190" customFormat="false" ht="15" hidden="false" customHeight="false" outlineLevel="0" collapsed="false">
      <c r="A190" s="7" t="s">
        <v>1495</v>
      </c>
      <c r="B190" s="12"/>
      <c r="C190" s="8" t="s">
        <v>40</v>
      </c>
      <c r="D190" s="8" t="s">
        <v>46</v>
      </c>
      <c r="E190" s="8" t="s">
        <v>104</v>
      </c>
      <c r="F190" s="9" t="n">
        <v>45506</v>
      </c>
      <c r="G190" s="8" t="n">
        <f aca="true">IF(F190="","",ROUND((IF(H190="",TODAY(),H190)-F190)/7,1))</f>
        <v>29</v>
      </c>
      <c r="H190" s="9" t="n">
        <v>45709</v>
      </c>
      <c r="I190" s="8"/>
      <c r="J190" s="8" t="s">
        <v>1451</v>
      </c>
      <c r="K190" s="13" t="str">
        <f aca="false">IFERROR(VLOOKUP(B190,colony!$A:$T,16,FALSE()),"")</f>
        <v/>
      </c>
    </row>
    <row r="191" customFormat="false" ht="15" hidden="false" customHeight="false" outlineLevel="0" collapsed="false">
      <c r="A191" s="7" t="s">
        <v>1496</v>
      </c>
      <c r="B191" s="12"/>
      <c r="C191" s="8" t="s">
        <v>40</v>
      </c>
      <c r="D191" s="8" t="s">
        <v>33</v>
      </c>
      <c r="E191" s="8" t="s">
        <v>104</v>
      </c>
      <c r="F191" s="9" t="n">
        <v>45642</v>
      </c>
      <c r="G191" s="8" t="n">
        <f aca="true">IF(F191="","",ROUND((IF(H191="",TODAY(),H191)-F191)/7,1))</f>
        <v>9</v>
      </c>
      <c r="H191" s="9" t="n">
        <v>45705</v>
      </c>
      <c r="I191" s="8"/>
      <c r="J191" s="8" t="s">
        <v>1451</v>
      </c>
      <c r="K191" s="13" t="str">
        <f aca="false">IFERROR(VLOOKUP(B191,colony!$A:$T,16,FALSE()),"")</f>
        <v/>
      </c>
    </row>
    <row r="192" customFormat="false" ht="15" hidden="false" customHeight="false" outlineLevel="0" collapsed="false">
      <c r="A192" s="7" t="s">
        <v>1497</v>
      </c>
      <c r="B192" s="12"/>
      <c r="C192" s="8" t="s">
        <v>40</v>
      </c>
      <c r="D192" s="8" t="s">
        <v>33</v>
      </c>
      <c r="E192" s="8" t="s">
        <v>104</v>
      </c>
      <c r="F192" s="9" t="n">
        <v>45642</v>
      </c>
      <c r="G192" s="8" t="n">
        <f aca="true">IF(F192="","",ROUND((IF(H192="",TODAY(),H192)-F192)/7,1))</f>
        <v>9</v>
      </c>
      <c r="H192" s="9" t="n">
        <v>45705</v>
      </c>
      <c r="I192" s="8"/>
      <c r="J192" s="8" t="s">
        <v>1451</v>
      </c>
      <c r="K192" s="13" t="str">
        <f aca="false">IFERROR(VLOOKUP(B192,colony!$A:$T,16,FALSE()),"")</f>
        <v/>
      </c>
    </row>
    <row r="193" customFormat="false" ht="15" hidden="false" customHeight="false" outlineLevel="0" collapsed="false">
      <c r="A193" s="7" t="s">
        <v>1498</v>
      </c>
      <c r="B193" s="12"/>
      <c r="C193" s="8" t="s">
        <v>40</v>
      </c>
      <c r="D193" s="8" t="s">
        <v>33</v>
      </c>
      <c r="E193" s="8" t="s">
        <v>104</v>
      </c>
      <c r="F193" s="9" t="n">
        <v>45642</v>
      </c>
      <c r="G193" s="8" t="n">
        <f aca="true">IF(F193="","",ROUND((IF(H193="",TODAY(),H193)-F193)/7,1))</f>
        <v>9</v>
      </c>
      <c r="H193" s="9" t="n">
        <v>45705</v>
      </c>
      <c r="I193" s="8"/>
      <c r="J193" s="8" t="s">
        <v>1451</v>
      </c>
      <c r="K193" s="13" t="str">
        <f aca="false">IFERROR(VLOOKUP(B193,colony!$A:$T,16,FALSE()),"")</f>
        <v/>
      </c>
    </row>
    <row r="194" customFormat="false" ht="15" hidden="false" customHeight="false" outlineLevel="0" collapsed="false">
      <c r="A194" s="7" t="s">
        <v>1499</v>
      </c>
      <c r="B194" s="12"/>
      <c r="C194" s="8" t="s">
        <v>40</v>
      </c>
      <c r="D194" s="8" t="s">
        <v>33</v>
      </c>
      <c r="E194" s="8" t="s">
        <v>104</v>
      </c>
      <c r="F194" s="9" t="n">
        <v>45642</v>
      </c>
      <c r="G194" s="8" t="n">
        <f aca="true">IF(F194="","",ROUND((IF(H194="",TODAY(),H194)-F194)/7,1))</f>
        <v>9.4</v>
      </c>
      <c r="H194" s="9" t="n">
        <v>45708</v>
      </c>
      <c r="I194" s="8"/>
      <c r="J194" s="8" t="s">
        <v>1451</v>
      </c>
      <c r="K194" s="13" t="str">
        <f aca="false">IFERROR(VLOOKUP(B194,colony!$A:$T,16,FALSE()),"")</f>
        <v/>
      </c>
    </row>
    <row r="195" customFormat="false" ht="15" hidden="false" customHeight="false" outlineLevel="0" collapsed="false">
      <c r="A195" s="7" t="s">
        <v>1500</v>
      </c>
      <c r="B195" s="12"/>
      <c r="C195" s="8" t="s">
        <v>40</v>
      </c>
      <c r="D195" s="8" t="s">
        <v>33</v>
      </c>
      <c r="E195" s="8" t="s">
        <v>104</v>
      </c>
      <c r="F195" s="9" t="n">
        <v>45642</v>
      </c>
      <c r="G195" s="8" t="n">
        <f aca="true">IF(F195="","",ROUND((IF(H195="",TODAY(),H195)-F195)/7,1))</f>
        <v>9.4</v>
      </c>
      <c r="H195" s="9" t="n">
        <v>45708</v>
      </c>
      <c r="I195" s="8"/>
      <c r="J195" s="8" t="s">
        <v>1451</v>
      </c>
      <c r="K195" s="13" t="str">
        <f aca="false">IFERROR(VLOOKUP(B195,colony!$A:$T,16,FALSE()),"")</f>
        <v/>
      </c>
    </row>
    <row r="196" customFormat="false" ht="15" hidden="false" customHeight="false" outlineLevel="0" collapsed="false">
      <c r="A196" s="7" t="s">
        <v>1501</v>
      </c>
      <c r="B196" s="12"/>
      <c r="C196" s="8" t="s">
        <v>40</v>
      </c>
      <c r="D196" s="8" t="s">
        <v>33</v>
      </c>
      <c r="E196" s="8" t="s">
        <v>104</v>
      </c>
      <c r="F196" s="9" t="n">
        <v>45645</v>
      </c>
      <c r="G196" s="8" t="n">
        <f aca="true">IF(F196="","",ROUND((IF(H196="",TODAY(),H196)-F196)/7,1))</f>
        <v>10</v>
      </c>
      <c r="H196" s="9" t="n">
        <v>45715</v>
      </c>
      <c r="I196" s="8"/>
      <c r="J196" s="8" t="s">
        <v>1451</v>
      </c>
      <c r="K196" s="13" t="str">
        <f aca="false">IFERROR(VLOOKUP(B196,colony!$A:$T,16,FALSE()),"")</f>
        <v/>
      </c>
    </row>
    <row r="197" customFormat="false" ht="15" hidden="false" customHeight="false" outlineLevel="0" collapsed="false">
      <c r="A197" s="7" t="s">
        <v>1502</v>
      </c>
      <c r="B197" s="12"/>
      <c r="C197" s="8" t="s">
        <v>40</v>
      </c>
      <c r="D197" s="8" t="s">
        <v>33</v>
      </c>
      <c r="E197" s="8" t="s">
        <v>104</v>
      </c>
      <c r="F197" s="9" t="n">
        <v>45645</v>
      </c>
      <c r="G197" s="8" t="n">
        <f aca="true">IF(F197="","",ROUND((IF(H197="",TODAY(),H197)-F197)/7,1))</f>
        <v>10</v>
      </c>
      <c r="H197" s="9" t="n">
        <v>45715</v>
      </c>
      <c r="I197" s="8"/>
      <c r="J197" s="8" t="s">
        <v>1451</v>
      </c>
      <c r="K197" s="13" t="str">
        <f aca="false">IFERROR(VLOOKUP(B197,colony!$A:$T,16,FALSE()),"")</f>
        <v/>
      </c>
    </row>
    <row r="198" customFormat="false" ht="15" hidden="false" customHeight="false" outlineLevel="0" collapsed="false">
      <c r="A198" s="7" t="s">
        <v>1503</v>
      </c>
      <c r="B198" s="12"/>
      <c r="C198" s="8" t="s">
        <v>40</v>
      </c>
      <c r="D198" s="8" t="s">
        <v>33</v>
      </c>
      <c r="E198" s="8" t="s">
        <v>104</v>
      </c>
      <c r="F198" s="9" t="n">
        <v>45649</v>
      </c>
      <c r="G198" s="8" t="n">
        <f aca="true">IF(F198="","",ROUND((IF(H198="",TODAY(),H198)-F198)/7,1))</f>
        <v>9.6</v>
      </c>
      <c r="H198" s="9" t="n">
        <v>45716</v>
      </c>
      <c r="I198" s="8"/>
      <c r="J198" s="8" t="s">
        <v>1451</v>
      </c>
      <c r="K198" s="13" t="str">
        <f aca="false">IFERROR(VLOOKUP(B198,colony!$A:$T,16,FALSE()),"")</f>
        <v/>
      </c>
    </row>
    <row r="199" customFormat="false" ht="15" hidden="false" customHeight="false" outlineLevel="0" collapsed="false">
      <c r="A199" s="7" t="s">
        <v>1504</v>
      </c>
      <c r="B199" s="12"/>
      <c r="C199" s="8" t="s">
        <v>40</v>
      </c>
      <c r="D199" s="8" t="s">
        <v>33</v>
      </c>
      <c r="E199" s="8" t="s">
        <v>104</v>
      </c>
      <c r="F199" s="9" t="n">
        <v>45649</v>
      </c>
      <c r="G199" s="8" t="n">
        <f aca="true">IF(F199="","",ROUND((IF(H199="",TODAY(),H199)-F199)/7,1))</f>
        <v>9.6</v>
      </c>
      <c r="H199" s="9" t="n">
        <v>45716</v>
      </c>
      <c r="I199" s="8"/>
      <c r="J199" s="8" t="s">
        <v>1451</v>
      </c>
      <c r="K199" s="13" t="str">
        <f aca="false">IFERROR(VLOOKUP(B199,colony!$A:$T,16,FALSE()),"")</f>
        <v/>
      </c>
    </row>
    <row r="200" customFormat="false" ht="15" hidden="false" customHeight="false" outlineLevel="0" collapsed="false">
      <c r="A200" s="7" t="s">
        <v>1505</v>
      </c>
      <c r="B200" s="12"/>
      <c r="C200" s="8" t="s">
        <v>40</v>
      </c>
      <c r="D200" s="8" t="s">
        <v>33</v>
      </c>
      <c r="E200" s="8" t="s">
        <v>104</v>
      </c>
      <c r="F200" s="9" t="n">
        <v>45649</v>
      </c>
      <c r="G200" s="8" t="n">
        <f aca="true">IF(F200="","",ROUND((IF(H200="",TODAY(),H200)-F200)/7,1))</f>
        <v>10</v>
      </c>
      <c r="H200" s="9" t="n">
        <v>45719</v>
      </c>
      <c r="I200" s="8"/>
      <c r="J200" s="8" t="s">
        <v>1451</v>
      </c>
      <c r="K200" s="13" t="str">
        <f aca="false">IFERROR(VLOOKUP(B200,colony!$A:$T,16,FALSE()),"")</f>
        <v/>
      </c>
    </row>
    <row r="201" customFormat="false" ht="15" hidden="false" customHeight="false" outlineLevel="0" collapsed="false">
      <c r="A201" s="7" t="s">
        <v>1506</v>
      </c>
      <c r="B201" s="12"/>
      <c r="C201" s="8" t="s">
        <v>40</v>
      </c>
      <c r="D201" s="8" t="s">
        <v>33</v>
      </c>
      <c r="E201" s="8" t="s">
        <v>104</v>
      </c>
      <c r="F201" s="9" t="n">
        <v>45649</v>
      </c>
      <c r="G201" s="8" t="n">
        <f aca="true">IF(F201="","",ROUND((IF(H201="",TODAY(),H201)-F201)/7,1))</f>
        <v>10.3</v>
      </c>
      <c r="H201" s="9" t="n">
        <v>45721</v>
      </c>
      <c r="I201" s="8"/>
      <c r="J201" s="8" t="s">
        <v>1451</v>
      </c>
      <c r="K201" s="13" t="str">
        <f aca="false">IFERROR(VLOOKUP(B201,colony!$A:$T,16,FALSE()),"")</f>
        <v/>
      </c>
    </row>
    <row r="202" customFormat="false" ht="15" hidden="false" customHeight="false" outlineLevel="0" collapsed="false">
      <c r="A202" s="7" t="s">
        <v>1507</v>
      </c>
      <c r="B202" s="12"/>
      <c r="C202" s="8" t="s">
        <v>40</v>
      </c>
      <c r="D202" s="8" t="s">
        <v>33</v>
      </c>
      <c r="E202" s="8" t="s">
        <v>104</v>
      </c>
      <c r="F202" s="9" t="n">
        <v>45609</v>
      </c>
      <c r="G202" s="8" t="n">
        <f aca="true">IF(F202="","",ROUND((IF(H202="",TODAY(),H202)-F202)/7,1))</f>
        <v>16.3</v>
      </c>
      <c r="H202" s="9" t="n">
        <v>45723</v>
      </c>
      <c r="I202" s="8"/>
      <c r="J202" s="8" t="s">
        <v>1508</v>
      </c>
      <c r="K202" s="13" t="str">
        <f aca="false">IFERROR(VLOOKUP(B202,colony!$A:$T,16,FALSE()),"")</f>
        <v/>
      </c>
    </row>
    <row r="203" customFormat="false" ht="15" hidden="false" customHeight="false" outlineLevel="0" collapsed="false">
      <c r="A203" s="7" t="s">
        <v>1509</v>
      </c>
      <c r="B203" s="12"/>
      <c r="C203" s="8" t="s">
        <v>40</v>
      </c>
      <c r="D203" s="8" t="s">
        <v>33</v>
      </c>
      <c r="E203" s="8" t="s">
        <v>104</v>
      </c>
      <c r="F203" s="9" t="n">
        <v>45609</v>
      </c>
      <c r="G203" s="8" t="n">
        <f aca="true">IF(F203="","",ROUND((IF(H203="",TODAY(),H203)-F203)/7,1))</f>
        <v>16.3</v>
      </c>
      <c r="H203" s="9" t="n">
        <v>45723</v>
      </c>
      <c r="I203" s="8"/>
      <c r="J203" s="8" t="s">
        <v>1510</v>
      </c>
      <c r="K203" s="13" t="str">
        <f aca="false">IFERROR(VLOOKUP(B203,colony!$A:$T,16,FALSE()),"")</f>
        <v/>
      </c>
    </row>
    <row r="204" customFormat="false" ht="15" hidden="false" customHeight="false" outlineLevel="0" collapsed="false">
      <c r="A204" s="7" t="s">
        <v>1511</v>
      </c>
      <c r="B204" s="12"/>
      <c r="C204" s="8" t="s">
        <v>40</v>
      </c>
      <c r="D204" s="8" t="s">
        <v>33</v>
      </c>
      <c r="E204" s="8" t="s">
        <v>104</v>
      </c>
      <c r="F204" s="9" t="n">
        <v>45609</v>
      </c>
      <c r="G204" s="8" t="n">
        <f aca="true">IF(F204="","",ROUND((IF(H204="",TODAY(),H204)-F204)/7,1))</f>
        <v>16.6</v>
      </c>
      <c r="H204" s="9" t="n">
        <v>45725</v>
      </c>
      <c r="I204" s="8"/>
      <c r="J204" s="8" t="s">
        <v>1512</v>
      </c>
      <c r="K204" s="13" t="str">
        <f aca="false">IFERROR(VLOOKUP(B204,colony!$A:$T,16,FALSE()),"")</f>
        <v/>
      </c>
    </row>
    <row r="205" customFormat="false" ht="15" hidden="false" customHeight="false" outlineLevel="0" collapsed="false">
      <c r="A205" s="7" t="s">
        <v>1513</v>
      </c>
      <c r="B205" s="12"/>
      <c r="C205" s="8" t="s">
        <v>40</v>
      </c>
      <c r="D205" s="8" t="s">
        <v>33</v>
      </c>
      <c r="E205" s="8" t="s">
        <v>104</v>
      </c>
      <c r="F205" s="9" t="n">
        <v>45609</v>
      </c>
      <c r="G205" s="8" t="n">
        <f aca="true">IF(F205="","",ROUND((IF(H205="",TODAY(),H205)-F205)/7,1))</f>
        <v>16.7</v>
      </c>
      <c r="H205" s="9" t="n">
        <v>45726</v>
      </c>
      <c r="I205" s="8"/>
      <c r="J205" s="8" t="s">
        <v>1514</v>
      </c>
      <c r="K205" s="13" t="str">
        <f aca="false">IFERROR(VLOOKUP(B205,colony!$A:$T,16,FALSE()),"")</f>
        <v/>
      </c>
    </row>
    <row r="206" customFormat="false" ht="15" hidden="false" customHeight="false" outlineLevel="0" collapsed="false">
      <c r="A206" s="7" t="s">
        <v>1515</v>
      </c>
      <c r="B206" s="12"/>
      <c r="C206" s="8" t="s">
        <v>40</v>
      </c>
      <c r="D206" s="8" t="s">
        <v>33</v>
      </c>
      <c r="E206" s="8" t="s">
        <v>104</v>
      </c>
      <c r="F206" s="9" t="n">
        <v>45609</v>
      </c>
      <c r="G206" s="8" t="n">
        <f aca="true">IF(F206="","",ROUND((IF(H206="",TODAY(),H206)-F206)/7,1))</f>
        <v>17</v>
      </c>
      <c r="H206" s="9" t="n">
        <v>45728</v>
      </c>
      <c r="I206" s="8"/>
      <c r="J206" s="8" t="s">
        <v>1516</v>
      </c>
      <c r="K206" s="13" t="str">
        <f aca="false">IFERROR(VLOOKUP(B206,colony!$A:$T,16,FALSE()),"")</f>
        <v/>
      </c>
    </row>
    <row r="207" customFormat="false" ht="15" hidden="false" customHeight="false" outlineLevel="0" collapsed="false">
      <c r="A207" s="7" t="s">
        <v>1517</v>
      </c>
      <c r="B207" s="12"/>
      <c r="C207" s="8" t="s">
        <v>40</v>
      </c>
      <c r="D207" s="8" t="s">
        <v>33</v>
      </c>
      <c r="E207" s="8" t="s">
        <v>104</v>
      </c>
      <c r="F207" s="9" t="n">
        <v>45609</v>
      </c>
      <c r="G207" s="8" t="n">
        <f aca="true">IF(F207="","",ROUND((IF(H207="",TODAY(),H207)-F207)/7,1))</f>
        <v>17</v>
      </c>
      <c r="H207" s="9" t="n">
        <v>45728</v>
      </c>
      <c r="I207" s="8"/>
      <c r="J207" s="8" t="s">
        <v>1518</v>
      </c>
      <c r="K207" s="13" t="str">
        <f aca="false">IFERROR(VLOOKUP(B207,colony!$A:$T,16,FALSE()),"")</f>
        <v/>
      </c>
    </row>
    <row r="208" customFormat="false" ht="15" hidden="false" customHeight="false" outlineLevel="0" collapsed="false">
      <c r="A208" s="7" t="s">
        <v>1519</v>
      </c>
      <c r="B208" s="12"/>
      <c r="C208" s="8" t="s">
        <v>40</v>
      </c>
      <c r="D208" s="8" t="s">
        <v>33</v>
      </c>
      <c r="E208" s="8" t="s">
        <v>104</v>
      </c>
      <c r="F208" s="9" t="n">
        <v>45609</v>
      </c>
      <c r="G208" s="8" t="n">
        <f aca="true">IF(F208="","",ROUND((IF(H208="",TODAY(),H208)-F208)/7,1))</f>
        <v>17</v>
      </c>
      <c r="H208" s="9" t="n">
        <v>45728</v>
      </c>
      <c r="I208" s="8"/>
      <c r="J208" s="8" t="s">
        <v>1520</v>
      </c>
      <c r="K208" s="13" t="str">
        <f aca="false">IFERROR(VLOOKUP(B208,colony!$A:$T,16,FALSE()),"")</f>
        <v/>
      </c>
    </row>
    <row r="209" customFormat="false" ht="15" hidden="false" customHeight="false" outlineLevel="0" collapsed="false">
      <c r="A209" s="7" t="s">
        <v>1521</v>
      </c>
      <c r="B209" s="12"/>
      <c r="C209" s="8" t="s">
        <v>40</v>
      </c>
      <c r="D209" s="8" t="s">
        <v>33</v>
      </c>
      <c r="E209" s="8" t="s">
        <v>104</v>
      </c>
      <c r="F209" s="9" t="n">
        <v>45609</v>
      </c>
      <c r="G209" s="8" t="n">
        <f aca="true">IF(F209="","",ROUND((IF(H209="",TODAY(),H209)-F209)/7,1))</f>
        <v>17</v>
      </c>
      <c r="H209" s="9" t="n">
        <v>45728</v>
      </c>
      <c r="I209" s="8"/>
      <c r="J209" s="8" t="s">
        <v>1522</v>
      </c>
      <c r="K209" s="13" t="str">
        <f aca="false">IFERROR(VLOOKUP(B209,colony!$A:$T,16,FALSE()),"")</f>
        <v/>
      </c>
    </row>
    <row r="210" customFormat="false" ht="15" hidden="false" customHeight="false" outlineLevel="0" collapsed="false">
      <c r="A210" s="7" t="s">
        <v>1523</v>
      </c>
      <c r="B210" s="12"/>
      <c r="C210" s="8" t="s">
        <v>40</v>
      </c>
      <c r="D210" s="8" t="s">
        <v>33</v>
      </c>
      <c r="E210" s="8" t="s">
        <v>104</v>
      </c>
      <c r="F210" s="9" t="n">
        <v>45609</v>
      </c>
      <c r="G210" s="8" t="n">
        <f aca="true">IF(F210="","",ROUND((IF(H210="",TODAY(),H210)-F210)/7,1))</f>
        <v>17.1</v>
      </c>
      <c r="H210" s="9" t="n">
        <v>45729</v>
      </c>
      <c r="I210" s="8"/>
      <c r="J210" s="8" t="s">
        <v>1524</v>
      </c>
      <c r="K210" s="13" t="str">
        <f aca="false">IFERROR(VLOOKUP(B210,colony!$A:$T,16,FALSE()),"")</f>
        <v/>
      </c>
    </row>
    <row r="211" customFormat="false" ht="15" hidden="false" customHeight="false" outlineLevel="0" collapsed="false">
      <c r="A211" s="7" t="s">
        <v>1525</v>
      </c>
      <c r="B211" s="12"/>
      <c r="C211" s="8" t="s">
        <v>40</v>
      </c>
      <c r="D211" s="8" t="s">
        <v>33</v>
      </c>
      <c r="E211" s="8" t="s">
        <v>114</v>
      </c>
      <c r="F211" s="9" t="n">
        <v>45632</v>
      </c>
      <c r="G211" s="8" t="n">
        <f aca="true">IF(F211="","",ROUND((IF(H211="",TODAY(),H211)-F211)/7,1))</f>
        <v>18.6</v>
      </c>
      <c r="H211" s="9" t="n">
        <v>45762</v>
      </c>
      <c r="I211" s="8"/>
      <c r="J211" s="8" t="s">
        <v>1526</v>
      </c>
      <c r="K211" s="13" t="str">
        <f aca="false">IFERROR(VLOOKUP(B211,colony!$A:$T,16,FALSE()),"")</f>
        <v/>
      </c>
    </row>
    <row r="212" customFormat="false" ht="15" hidden="false" customHeight="false" outlineLevel="0" collapsed="false">
      <c r="A212" s="7" t="s">
        <v>1527</v>
      </c>
      <c r="B212" s="12"/>
      <c r="C212" s="8" t="s">
        <v>40</v>
      </c>
      <c r="D212" s="8" t="s">
        <v>33</v>
      </c>
      <c r="E212" s="8" t="s">
        <v>114</v>
      </c>
      <c r="F212" s="9" t="n">
        <v>45632</v>
      </c>
      <c r="G212" s="8" t="n">
        <f aca="true">IF(F212="","",ROUND((IF(H212="",TODAY(),H212)-F212)/7,1))</f>
        <v>19</v>
      </c>
      <c r="H212" s="9" t="n">
        <v>45765</v>
      </c>
      <c r="I212" s="8"/>
      <c r="J212" s="8" t="s">
        <v>1528</v>
      </c>
      <c r="K212" s="13" t="str">
        <f aca="false">IFERROR(VLOOKUP(B212,colony!$A:$T,16,FALSE()),"")</f>
        <v/>
      </c>
    </row>
    <row r="213" customFormat="false" ht="15" hidden="false" customHeight="false" outlineLevel="0" collapsed="false">
      <c r="A213" s="7" t="s">
        <v>1529</v>
      </c>
      <c r="B213" s="12"/>
      <c r="C213" s="8" t="s">
        <v>40</v>
      </c>
      <c r="D213" s="8" t="s">
        <v>33</v>
      </c>
      <c r="E213" s="8" t="s">
        <v>114</v>
      </c>
      <c r="F213" s="9" t="n">
        <v>45632</v>
      </c>
      <c r="G213" s="8" t="n">
        <f aca="true">IF(F213="","",ROUND((IF(H213="",TODAY(),H213)-F213)/7,1))</f>
        <v>22.6</v>
      </c>
      <c r="H213" s="9" t="n">
        <v>45790</v>
      </c>
      <c r="I213" s="8"/>
      <c r="J213" s="8" t="s">
        <v>1530</v>
      </c>
      <c r="K213" s="13" t="str">
        <f aca="false">IFERROR(VLOOKUP(B213,colony!$A:$T,16,FALSE()),"")</f>
        <v/>
      </c>
    </row>
    <row r="214" customFormat="false" ht="15" hidden="false" customHeight="false" outlineLevel="0" collapsed="false">
      <c r="A214" s="7" t="s">
        <v>1531</v>
      </c>
      <c r="B214" s="12"/>
      <c r="C214" s="8" t="s">
        <v>40</v>
      </c>
      <c r="D214" s="8" t="s">
        <v>33</v>
      </c>
      <c r="E214" s="8" t="s">
        <v>114</v>
      </c>
      <c r="F214" s="9" t="n">
        <v>45632</v>
      </c>
      <c r="G214" s="8" t="n">
        <f aca="true">IF(F214="","",ROUND((IF(H214="",TODAY(),H214)-F214)/7,1))</f>
        <v>23.4</v>
      </c>
      <c r="H214" s="9" t="n">
        <v>45796</v>
      </c>
      <c r="I214" s="8"/>
      <c r="J214" s="8" t="s">
        <v>1532</v>
      </c>
      <c r="K214" s="13" t="str">
        <f aca="false">IFERROR(VLOOKUP(B214,colony!$A:$T,16,FALSE()),"")</f>
        <v/>
      </c>
    </row>
    <row r="215" customFormat="false" ht="15" hidden="false" customHeight="false" outlineLevel="0" collapsed="false">
      <c r="A215" s="7" t="s">
        <v>1533</v>
      </c>
      <c r="B215" s="12"/>
      <c r="C215" s="8" t="s">
        <v>40</v>
      </c>
      <c r="D215" s="8" t="s">
        <v>33</v>
      </c>
      <c r="E215" s="8" t="s">
        <v>104</v>
      </c>
      <c r="F215" s="9" t="n">
        <v>45726</v>
      </c>
      <c r="G215" s="8" t="n">
        <f aca="true">IF(F215="","",ROUND((IF(H215="",TODAY(),H215)-F215)/7,1))</f>
        <v>31.4</v>
      </c>
      <c r="H215" s="9" t="n">
        <v>45946</v>
      </c>
      <c r="I215" s="8"/>
      <c r="J215" s="8" t="s">
        <v>1534</v>
      </c>
      <c r="K215" s="13" t="str">
        <f aca="false">IFERROR(VLOOKUP(B215,colony!$A:$T,16,FALSE()),"")</f>
        <v/>
      </c>
    </row>
    <row r="216" customFormat="false" ht="15" hidden="false" customHeight="false" outlineLevel="0" collapsed="false">
      <c r="A216" s="7" t="s">
        <v>1535</v>
      </c>
      <c r="B216" s="12"/>
      <c r="C216" s="8" t="s">
        <v>40</v>
      </c>
      <c r="D216" s="8" t="s">
        <v>46</v>
      </c>
      <c r="E216" s="8" t="s">
        <v>104</v>
      </c>
      <c r="F216" s="9" t="n">
        <v>45726</v>
      </c>
      <c r="G216" s="8" t="n">
        <f aca="true">IF(F216="","",ROUND((IF(H216="",TODAY(),H216)-F216)/7,1))</f>
        <v>31.4</v>
      </c>
      <c r="H216" s="9" t="n">
        <v>45946</v>
      </c>
      <c r="I216" s="8"/>
      <c r="J216" s="8" t="s">
        <v>1536</v>
      </c>
      <c r="K216" s="13" t="str">
        <f aca="false">IFERROR(VLOOKUP(B216,colony!$A:$T,16,FALSE()),"")</f>
        <v/>
      </c>
    </row>
    <row r="217" customFormat="false" ht="15" hidden="false" customHeight="false" outlineLevel="0" collapsed="false">
      <c r="A217" s="7" t="s">
        <v>1537</v>
      </c>
      <c r="B217" s="12"/>
      <c r="C217" s="8" t="s">
        <v>40</v>
      </c>
      <c r="D217" s="8" t="s">
        <v>33</v>
      </c>
      <c r="E217" s="8" t="s">
        <v>104</v>
      </c>
      <c r="F217" s="9" t="n">
        <v>45726</v>
      </c>
      <c r="G217" s="8" t="n">
        <f aca="true">IF(F217="","",ROUND((IF(H217="",TODAY(),H217)-F217)/7,1))</f>
        <v>9</v>
      </c>
      <c r="H217" s="9" t="n">
        <v>45789</v>
      </c>
      <c r="I217" s="8"/>
      <c r="J217" s="8" t="s">
        <v>1538</v>
      </c>
      <c r="K217" s="13" t="str">
        <f aca="false">IFERROR(VLOOKUP(B217,colony!$A:$T,16,FALSE()),"")</f>
        <v/>
      </c>
    </row>
    <row r="218" customFormat="false" ht="15" hidden="false" customHeight="false" outlineLevel="0" collapsed="false">
      <c r="A218" s="7" t="s">
        <v>1539</v>
      </c>
      <c r="B218" s="12"/>
      <c r="C218" s="8" t="s">
        <v>40</v>
      </c>
      <c r="D218" s="8" t="s">
        <v>46</v>
      </c>
      <c r="E218" s="8" t="s">
        <v>104</v>
      </c>
      <c r="F218" s="9" t="n">
        <v>45726</v>
      </c>
      <c r="G218" s="8" t="n">
        <f aca="true">IF(F218="","",ROUND((IF(H218="",TODAY(),H218)-F218)/7,1))</f>
        <v>31.4</v>
      </c>
      <c r="H218" s="9" t="n">
        <v>45946</v>
      </c>
      <c r="I218" s="8"/>
      <c r="J218" s="8" t="s">
        <v>1540</v>
      </c>
      <c r="K218" s="13" t="str">
        <f aca="false">IFERROR(VLOOKUP(B218,colony!$A:$T,16,FALSE()),"")</f>
        <v/>
      </c>
    </row>
    <row r="219" customFormat="false" ht="15" hidden="false" customHeight="false" outlineLevel="0" collapsed="false">
      <c r="A219" s="7" t="s">
        <v>1541</v>
      </c>
      <c r="B219" s="12"/>
      <c r="C219" s="8" t="s">
        <v>40</v>
      </c>
      <c r="D219" s="8" t="s">
        <v>33</v>
      </c>
      <c r="E219" s="8" t="s">
        <v>104</v>
      </c>
      <c r="F219" s="9" t="n">
        <v>45726</v>
      </c>
      <c r="G219" s="8" t="n">
        <f aca="true">IF(F219="","",ROUND((IF(H219="",TODAY(),H219)-F219)/7,1))</f>
        <v>31.4</v>
      </c>
      <c r="H219" s="9" t="n">
        <v>45946</v>
      </c>
      <c r="I219" s="8"/>
      <c r="J219" s="8" t="s">
        <v>1542</v>
      </c>
      <c r="K219" s="13" t="str">
        <f aca="false">IFERROR(VLOOKUP(B219,colony!$A:$T,16,FALSE()),"")</f>
        <v/>
      </c>
    </row>
    <row r="220" customFormat="false" ht="15" hidden="false" customHeight="false" outlineLevel="0" collapsed="false">
      <c r="A220" s="7" t="s">
        <v>1543</v>
      </c>
      <c r="B220" s="12"/>
      <c r="C220" s="8" t="s">
        <v>40</v>
      </c>
      <c r="D220" s="8" t="s">
        <v>46</v>
      </c>
      <c r="E220" s="8" t="s">
        <v>104</v>
      </c>
      <c r="F220" s="9" t="n">
        <v>45726</v>
      </c>
      <c r="G220" s="8" t="n">
        <f aca="true">IF(F220="","",ROUND((IF(H220="",TODAY(),H220)-F220)/7,1))</f>
        <v>31.4</v>
      </c>
      <c r="H220" s="9" t="n">
        <v>45946</v>
      </c>
      <c r="I220" s="8"/>
      <c r="J220" s="8" t="s">
        <v>1544</v>
      </c>
      <c r="K220" s="13" t="str">
        <f aca="false">IFERROR(VLOOKUP(B220,colony!$A:$T,16,FALSE()),"")</f>
        <v/>
      </c>
    </row>
    <row r="221" customFormat="false" ht="15" hidden="false" customHeight="false" outlineLevel="0" collapsed="false">
      <c r="A221" s="7" t="s">
        <v>1545</v>
      </c>
      <c r="B221" s="12"/>
      <c r="C221" s="8" t="s">
        <v>40</v>
      </c>
      <c r="D221" s="8" t="s">
        <v>33</v>
      </c>
      <c r="E221" s="8" t="s">
        <v>114</v>
      </c>
      <c r="F221" s="9" t="n">
        <v>45708</v>
      </c>
      <c r="G221" s="8" t="n">
        <f aca="true">IF(F221="","",ROUND((IF(H221="",TODAY(),H221)-F221)/7,1))</f>
        <v>15.7</v>
      </c>
      <c r="H221" s="9" t="n">
        <v>45818</v>
      </c>
      <c r="I221" s="8"/>
      <c r="J221" s="8" t="s">
        <v>1546</v>
      </c>
      <c r="K221" s="13" t="str">
        <f aca="false">IFERROR(VLOOKUP(B221,colony!$A:$T,16,FALSE()),"")</f>
        <v/>
      </c>
    </row>
    <row r="222" customFormat="false" ht="15" hidden="false" customHeight="false" outlineLevel="0" collapsed="false">
      <c r="A222" s="7" t="s">
        <v>1547</v>
      </c>
      <c r="B222" s="12"/>
      <c r="C222" s="8" t="s">
        <v>40</v>
      </c>
      <c r="D222" s="8" t="s">
        <v>46</v>
      </c>
      <c r="E222" s="8" t="s">
        <v>129</v>
      </c>
      <c r="F222" s="9" t="n">
        <v>45336</v>
      </c>
      <c r="G222" s="8" t="n">
        <f aca="true">IF(F222="","",ROUND((IF(H222="",TODAY(),H222)-F222)/7,1))</f>
        <v>66.9</v>
      </c>
      <c r="H222" s="9" t="n">
        <v>45804</v>
      </c>
      <c r="I222" s="8"/>
      <c r="J222" s="8" t="s">
        <v>1548</v>
      </c>
      <c r="K222" s="13" t="str">
        <f aca="false">IFERROR(VLOOKUP(B222,colony!$A:$T,16,FALSE()),"")</f>
        <v/>
      </c>
    </row>
    <row r="223" customFormat="false" ht="15" hidden="false" customHeight="false" outlineLevel="0" collapsed="false">
      <c r="A223" s="7" t="s">
        <v>1549</v>
      </c>
      <c r="B223" s="12"/>
      <c r="C223" s="8" t="s">
        <v>40</v>
      </c>
      <c r="D223" s="8" t="s">
        <v>46</v>
      </c>
      <c r="E223" s="8" t="s">
        <v>129</v>
      </c>
      <c r="F223" s="9" t="n">
        <v>45373</v>
      </c>
      <c r="G223" s="8" t="n">
        <f aca="true">IF(F223="","",ROUND((IF(H223="",TODAY(),H223)-F223)/7,1))</f>
        <v>61.6</v>
      </c>
      <c r="H223" s="9" t="n">
        <v>45804</v>
      </c>
      <c r="I223" s="8"/>
      <c r="J223" s="8" t="s">
        <v>1550</v>
      </c>
      <c r="K223" s="13" t="str">
        <f aca="false">IFERROR(VLOOKUP(B223,colony!$A:$T,16,FALSE()),"")</f>
        <v/>
      </c>
    </row>
    <row r="224" customFormat="false" ht="15" hidden="false" customHeight="false" outlineLevel="0" collapsed="false">
      <c r="A224" s="7" t="s">
        <v>1551</v>
      </c>
      <c r="B224" s="12"/>
      <c r="C224" s="8" t="s">
        <v>40</v>
      </c>
      <c r="D224" s="8" t="s">
        <v>33</v>
      </c>
      <c r="E224" s="8" t="s">
        <v>114</v>
      </c>
      <c r="F224" s="9" t="n">
        <v>45708</v>
      </c>
      <c r="G224" s="8" t="n">
        <f aca="true">IF(F224="","",ROUND((IF(H224="",TODAY(),H224)-F224)/7,1))</f>
        <v>16.6</v>
      </c>
      <c r="H224" s="9" t="n">
        <v>45824</v>
      </c>
      <c r="I224" s="8"/>
      <c r="J224" s="8" t="s">
        <v>1552</v>
      </c>
      <c r="K224" s="13" t="str">
        <f aca="false">IFERROR(VLOOKUP(B224,colony!$A:$T,16,FALSE()),"")</f>
        <v/>
      </c>
    </row>
    <row r="225" customFormat="false" ht="15" hidden="false" customHeight="false" outlineLevel="0" collapsed="false">
      <c r="A225" s="7" t="s">
        <v>1553</v>
      </c>
      <c r="B225" s="12"/>
      <c r="C225" s="8" t="s">
        <v>40</v>
      </c>
      <c r="D225" s="8" t="s">
        <v>33</v>
      </c>
      <c r="E225" s="8" t="s">
        <v>114</v>
      </c>
      <c r="F225" s="9" t="n">
        <v>45708</v>
      </c>
      <c r="G225" s="8" t="n">
        <f aca="true">IF(F225="","",ROUND((IF(H225="",TODAY(),H225)-F225)/7,1))</f>
        <v>17</v>
      </c>
      <c r="H225" s="9" t="n">
        <v>45827</v>
      </c>
      <c r="I225" s="8"/>
      <c r="J225" s="8" t="s">
        <v>1554</v>
      </c>
      <c r="K225" s="13" t="str">
        <f aca="false">IFERROR(VLOOKUP(B225,colony!$A:$T,16,FALSE()),"")</f>
        <v/>
      </c>
    </row>
    <row r="226" customFormat="false" ht="15" hidden="false" customHeight="false" outlineLevel="0" collapsed="false">
      <c r="A226" s="7" t="s">
        <v>1555</v>
      </c>
      <c r="B226" s="12"/>
      <c r="C226" s="8" t="s">
        <v>40</v>
      </c>
      <c r="D226" s="8" t="s">
        <v>46</v>
      </c>
      <c r="E226" s="8" t="s">
        <v>114</v>
      </c>
      <c r="F226" s="9" t="n">
        <v>45708</v>
      </c>
      <c r="G226" s="8" t="n">
        <f aca="true">IF(F226="","",ROUND((IF(H226="",TODAY(),H226)-F226)/7,1))</f>
        <v>19</v>
      </c>
      <c r="H226" s="9" t="n">
        <v>45841</v>
      </c>
      <c r="I226" s="8"/>
      <c r="J226" s="8" t="s">
        <v>1556</v>
      </c>
      <c r="K226" s="13" t="str">
        <f aca="false">IFERROR(VLOOKUP(B226,colony!$A:$T,16,FALSE()),"")</f>
        <v/>
      </c>
    </row>
    <row r="227" customFormat="false" ht="15" hidden="false" customHeight="false" outlineLevel="0" collapsed="false">
      <c r="A227" s="7" t="s">
        <v>1557</v>
      </c>
      <c r="B227" s="12"/>
      <c r="C227" s="8" t="s">
        <v>40</v>
      </c>
      <c r="D227" s="8" t="s">
        <v>33</v>
      </c>
      <c r="E227" s="8" t="s">
        <v>114</v>
      </c>
      <c r="F227" s="9" t="n">
        <v>45708</v>
      </c>
      <c r="G227" s="8" t="n">
        <f aca="true">IF(F227="","",ROUND((IF(H227="",TODAY(),H227)-F227)/7,1))</f>
        <v>19.1</v>
      </c>
      <c r="H227" s="9" t="n">
        <v>45842</v>
      </c>
      <c r="I227" s="8"/>
      <c r="J227" s="8" t="s">
        <v>1558</v>
      </c>
      <c r="K227" s="13" t="str">
        <f aca="false">IFERROR(VLOOKUP(B227,colony!$A:$T,16,FALSE()),"")</f>
        <v/>
      </c>
    </row>
    <row r="228" customFormat="false" ht="15" hidden="false" customHeight="false" outlineLevel="0" collapsed="false">
      <c r="A228" s="7" t="s">
        <v>1559</v>
      </c>
      <c r="B228" s="12"/>
      <c r="C228" s="8" t="s">
        <v>40</v>
      </c>
      <c r="D228" s="8" t="s">
        <v>33</v>
      </c>
      <c r="E228" s="8" t="s">
        <v>114</v>
      </c>
      <c r="F228" s="9" t="n">
        <v>45708</v>
      </c>
      <c r="G228" s="8" t="n">
        <f aca="true">IF(F228="","",ROUND((IF(H228="",TODAY(),H228)-F228)/7,1))</f>
        <v>19.6</v>
      </c>
      <c r="H228" s="9" t="n">
        <v>45845</v>
      </c>
      <c r="I228" s="8"/>
      <c r="J228" s="8" t="s">
        <v>1560</v>
      </c>
      <c r="K228" s="13" t="str">
        <f aca="false">IFERROR(VLOOKUP(B228,colony!$A:$T,16,FALSE()),"")</f>
        <v/>
      </c>
    </row>
    <row r="229" customFormat="false" ht="15" hidden="false" customHeight="false" outlineLevel="0" collapsed="false">
      <c r="A229" s="7" t="s">
        <v>1561</v>
      </c>
      <c r="B229" s="12"/>
      <c r="C229" s="8" t="s">
        <v>40</v>
      </c>
      <c r="D229" s="8" t="s">
        <v>33</v>
      </c>
      <c r="E229" s="8" t="s">
        <v>104</v>
      </c>
      <c r="F229" s="9" t="n">
        <v>45726</v>
      </c>
      <c r="G229" s="8" t="n">
        <f aca="true">IF(F229="","",ROUND((IF(H229="",TODAY(),H229)-F229)/7,1))</f>
        <v>17.3</v>
      </c>
      <c r="H229" s="9" t="n">
        <v>45847</v>
      </c>
      <c r="I229" s="8"/>
      <c r="J229" s="8" t="s">
        <v>1534</v>
      </c>
      <c r="K229" s="13" t="str">
        <f aca="false">IFERROR(VLOOKUP(B229,colony!$A:$T,16,FALSE()),"")</f>
        <v/>
      </c>
    </row>
    <row r="230" customFormat="false" ht="15" hidden="false" customHeight="false" outlineLevel="0" collapsed="false">
      <c r="A230" s="7" t="s">
        <v>1562</v>
      </c>
      <c r="B230" s="12"/>
      <c r="C230" s="8" t="s">
        <v>40</v>
      </c>
      <c r="D230" s="8" t="s">
        <v>33</v>
      </c>
      <c r="E230" s="8" t="s">
        <v>119</v>
      </c>
      <c r="F230" s="9" t="n">
        <v>45771</v>
      </c>
      <c r="G230" s="8" t="n">
        <f aca="true">IF(F230="","",ROUND((IF(H230="",TODAY(),H230)-F230)/7,1))</f>
        <v>25</v>
      </c>
      <c r="H230" s="9" t="n">
        <v>45946</v>
      </c>
      <c r="I230" s="8"/>
      <c r="J230" s="8" t="s">
        <v>1563</v>
      </c>
      <c r="K230" s="13" t="str">
        <f aca="false">IFERROR(VLOOKUP(B230,colony!$A:$T,16,FALSE()),"")</f>
        <v/>
      </c>
    </row>
    <row r="231" customFormat="false" ht="15" hidden="false" customHeight="false" outlineLevel="0" collapsed="false">
      <c r="A231" s="7" t="s">
        <v>1564</v>
      </c>
      <c r="B231" s="12"/>
      <c r="C231" s="8" t="s">
        <v>40</v>
      </c>
      <c r="D231" s="8" t="s">
        <v>33</v>
      </c>
      <c r="E231" s="8" t="s">
        <v>104</v>
      </c>
      <c r="F231" s="9" t="n">
        <v>45726</v>
      </c>
      <c r="G231" s="8" t="n">
        <f aca="true">IF(F231="","",ROUND((IF(H231="",TODAY(),H231)-F231)/7,1))</f>
        <v>31.4</v>
      </c>
      <c r="H231" s="9" t="n">
        <v>45946</v>
      </c>
      <c r="I231" s="8"/>
      <c r="J231" s="8" t="s">
        <v>192</v>
      </c>
      <c r="K231" s="13" t="str">
        <f aca="false">IFERROR(VLOOKUP(B231,colony!$A:$T,16,FALSE()),"")</f>
        <v/>
      </c>
    </row>
    <row r="232" customFormat="false" ht="15" hidden="false" customHeight="false" outlineLevel="0" collapsed="false">
      <c r="A232" s="7" t="s">
        <v>1565</v>
      </c>
      <c r="B232" s="12"/>
      <c r="C232" s="8" t="s">
        <v>40</v>
      </c>
      <c r="D232" s="8" t="s">
        <v>33</v>
      </c>
      <c r="E232" s="8" t="s">
        <v>119</v>
      </c>
      <c r="F232" s="9" t="n">
        <v>45770</v>
      </c>
      <c r="G232" s="8" t="n">
        <f aca="true">IF(F232="","",ROUND((IF(H232="",TODAY(),H232)-F232)/7,1))</f>
        <v>25.1</v>
      </c>
      <c r="H232" s="9" t="n">
        <v>45946</v>
      </c>
      <c r="I232" s="8"/>
      <c r="J232" s="8" t="s">
        <v>1566</v>
      </c>
      <c r="K232" s="13" t="str">
        <f aca="false">IFERROR(VLOOKUP(B232,colony!$A:$T,16,FALSE()),"")</f>
        <v/>
      </c>
    </row>
    <row r="233" customFormat="false" ht="15" hidden="false" customHeight="false" outlineLevel="0" collapsed="false">
      <c r="A233" s="7" t="s">
        <v>1567</v>
      </c>
      <c r="B233" s="12"/>
      <c r="C233" s="8" t="s">
        <v>40</v>
      </c>
      <c r="D233" s="8" t="s">
        <v>33</v>
      </c>
      <c r="E233" s="8" t="s">
        <v>104</v>
      </c>
      <c r="F233" s="9" t="n">
        <v>45726</v>
      </c>
      <c r="G233" s="8" t="n">
        <f aca="true">IF(F233="","",ROUND((IF(H233="",TODAY(),H233)-F233)/7,1))</f>
        <v>23.1</v>
      </c>
      <c r="H233" s="9" t="n">
        <v>45888</v>
      </c>
      <c r="I233" s="8"/>
      <c r="J233" s="8" t="s">
        <v>1568</v>
      </c>
      <c r="K233" s="13" t="str">
        <f aca="false">IFERROR(VLOOKUP(B233,colony!$A:$T,16,FALSE()),"")</f>
        <v/>
      </c>
    </row>
    <row r="234" customFormat="false" ht="15" hidden="false" customHeight="false" outlineLevel="0" collapsed="false">
      <c r="A234" s="7" t="s">
        <v>1569</v>
      </c>
      <c r="B234" s="12"/>
      <c r="C234" s="8" t="s">
        <v>40</v>
      </c>
      <c r="D234" s="8" t="s">
        <v>33</v>
      </c>
      <c r="E234" s="8" t="s">
        <v>104</v>
      </c>
      <c r="F234" s="9" t="n">
        <v>45726</v>
      </c>
      <c r="G234" s="8" t="n">
        <f aca="true">IF(F234="","",ROUND((IF(H234="",TODAY(),H234)-F234)/7,1))</f>
        <v>23.1</v>
      </c>
      <c r="H234" s="9" t="n">
        <v>45888</v>
      </c>
      <c r="I234" s="8"/>
      <c r="J234" s="8" t="s">
        <v>1570</v>
      </c>
      <c r="K234" s="13" t="str">
        <f aca="false">IFERROR(VLOOKUP(B234,colony!$A:$T,16,FALSE()),"")</f>
        <v/>
      </c>
    </row>
    <row r="235" customFormat="false" ht="15" hidden="false" customHeight="false" outlineLevel="0" collapsed="false">
      <c r="A235" s="7" t="s">
        <v>1571</v>
      </c>
      <c r="B235" s="12"/>
      <c r="C235" s="8" t="s">
        <v>40</v>
      </c>
      <c r="D235" s="8" t="s">
        <v>33</v>
      </c>
      <c r="E235" s="8" t="s">
        <v>104</v>
      </c>
      <c r="F235" s="9" t="n">
        <v>45726</v>
      </c>
      <c r="G235" s="8" t="n">
        <f aca="true">IF(F235="","",ROUND((IF(H235="",TODAY(),H235)-F235)/7,1))</f>
        <v>23.3</v>
      </c>
      <c r="H235" s="9" t="n">
        <v>45889</v>
      </c>
      <c r="I235" s="8"/>
      <c r="J235" s="8" t="s">
        <v>1572</v>
      </c>
      <c r="K235" s="13" t="str">
        <f aca="false">IFERROR(VLOOKUP(B235,colony!$A:$T,16,FALSE()),"")</f>
        <v/>
      </c>
    </row>
    <row r="236" customFormat="false" ht="15" hidden="false" customHeight="false" outlineLevel="0" collapsed="false">
      <c r="A236" s="7" t="s">
        <v>1573</v>
      </c>
      <c r="B236" s="12"/>
      <c r="C236" s="8" t="s">
        <v>40</v>
      </c>
      <c r="D236" s="8" t="s">
        <v>46</v>
      </c>
      <c r="E236" s="8" t="s">
        <v>104</v>
      </c>
      <c r="F236" s="9" t="n">
        <v>45726</v>
      </c>
      <c r="G236" s="8" t="n">
        <f aca="true">IF(F236="","",ROUND((IF(H236="",TODAY(),H236)-F236)/7,1))</f>
        <v>24.4</v>
      </c>
      <c r="H236" s="9" t="n">
        <v>45897</v>
      </c>
      <c r="I236" s="8"/>
      <c r="J236" s="8" t="s">
        <v>1536</v>
      </c>
      <c r="K236" s="13" t="str">
        <f aca="false">IFERROR(VLOOKUP(B236,colony!$A:$T,16,FALSE()),"")</f>
        <v/>
      </c>
    </row>
    <row r="237" customFormat="false" ht="15" hidden="false" customHeight="false" outlineLevel="0" collapsed="false">
      <c r="A237" s="7" t="s">
        <v>1574</v>
      </c>
      <c r="B237" s="12"/>
      <c r="C237" s="8" t="s">
        <v>40</v>
      </c>
      <c r="D237" s="8" t="s">
        <v>46</v>
      </c>
      <c r="E237" s="8" t="s">
        <v>104</v>
      </c>
      <c r="F237" s="9" t="n">
        <v>45726</v>
      </c>
      <c r="G237" s="8" t="n">
        <f aca="true">IF(F237="","",ROUND((IF(H237="",TODAY(),H237)-F237)/7,1))</f>
        <v>27.1</v>
      </c>
      <c r="H237" s="9" t="n">
        <v>45916</v>
      </c>
      <c r="I237" s="8"/>
      <c r="J237" s="8" t="s">
        <v>1540</v>
      </c>
      <c r="K237" s="13" t="str">
        <f aca="false">IFERROR(VLOOKUP(B237,colony!$A:$T,16,FALSE()),"")</f>
        <v/>
      </c>
    </row>
    <row r="238" customFormat="false" ht="15" hidden="false" customHeight="false" outlineLevel="0" collapsed="false">
      <c r="A238" s="7" t="s">
        <v>1575</v>
      </c>
      <c r="B238" s="12"/>
      <c r="C238" s="8" t="s">
        <v>40</v>
      </c>
      <c r="D238" s="8" t="s">
        <v>33</v>
      </c>
      <c r="E238" s="8" t="s">
        <v>114</v>
      </c>
      <c r="F238" s="9" t="n">
        <v>45737</v>
      </c>
      <c r="G238" s="8" t="n">
        <f aca="true">IF(F238="","",ROUND((IF(H238="",TODAY(),H238)-F238)/7,1))</f>
        <v>23.7</v>
      </c>
      <c r="H238" s="9" t="n">
        <v>45903</v>
      </c>
      <c r="I238" s="8"/>
      <c r="J238" s="8" t="s">
        <v>1576</v>
      </c>
      <c r="K238" s="13" t="str">
        <f aca="false">IFERROR(VLOOKUP(B238,colony!$A:$T,16,FALSE()),"")</f>
        <v/>
      </c>
    </row>
    <row r="239" customFormat="false" ht="15" hidden="false" customHeight="false" outlineLevel="0" collapsed="false">
      <c r="A239" s="7" t="s">
        <v>1577</v>
      </c>
      <c r="B239" s="12"/>
      <c r="C239" s="8" t="s">
        <v>40</v>
      </c>
      <c r="D239" s="8" t="s">
        <v>46</v>
      </c>
      <c r="E239" s="8" t="s">
        <v>104</v>
      </c>
      <c r="F239" s="9" t="n">
        <v>45726</v>
      </c>
      <c r="G239" s="8" t="n">
        <f aca="true">IF(F239="","",ROUND((IF(H239="",TODAY(),H239)-F239)/7,1))</f>
        <v>25.3</v>
      </c>
      <c r="H239" s="9" t="n">
        <v>45903</v>
      </c>
      <c r="I239" s="8"/>
      <c r="J239" s="8" t="s">
        <v>1544</v>
      </c>
      <c r="K239" s="13" t="str">
        <f aca="false">IFERROR(VLOOKUP(B239,colony!$A:$T,16,FALSE()),"")</f>
        <v/>
      </c>
    </row>
    <row r="240" customFormat="false" ht="15" hidden="false" customHeight="false" outlineLevel="0" collapsed="false">
      <c r="A240" s="7" t="s">
        <v>1578</v>
      </c>
      <c r="B240" s="12"/>
      <c r="C240" s="8" t="s">
        <v>40</v>
      </c>
      <c r="D240" s="8" t="s">
        <v>46</v>
      </c>
      <c r="E240" s="8" t="s">
        <v>104</v>
      </c>
      <c r="F240" s="9" t="n">
        <v>45726</v>
      </c>
      <c r="G240" s="8" t="n">
        <f aca="true">IF(F240="","",ROUND((IF(H240="",TODAY(),H240)-F240)/7,1))</f>
        <v>25.3</v>
      </c>
      <c r="H240" s="9" t="n">
        <v>45903</v>
      </c>
      <c r="I240" s="8"/>
      <c r="J240" s="8" t="s">
        <v>1579</v>
      </c>
      <c r="K240" s="13" t="str">
        <f aca="false">IFERROR(VLOOKUP(B240,colony!$A:$T,16,FALSE()),"")</f>
        <v/>
      </c>
    </row>
    <row r="241" customFormat="false" ht="15" hidden="false" customHeight="false" outlineLevel="0" collapsed="false">
      <c r="A241" s="7" t="s">
        <v>1580</v>
      </c>
      <c r="B241" s="12"/>
      <c r="C241" s="8" t="s">
        <v>40</v>
      </c>
      <c r="D241" s="8" t="s">
        <v>46</v>
      </c>
      <c r="E241" s="8" t="s">
        <v>104</v>
      </c>
      <c r="F241" s="9" t="n">
        <v>45726</v>
      </c>
      <c r="G241" s="8" t="n">
        <f aca="true">IF(F241="","",ROUND((IF(H241="",TODAY(),H241)-F241)/7,1))</f>
        <v>25.4</v>
      </c>
      <c r="H241" s="9" t="n">
        <v>45904</v>
      </c>
      <c r="I241" s="8"/>
      <c r="J241" s="8" t="s">
        <v>1581</v>
      </c>
      <c r="K241" s="13" t="str">
        <f aca="false">IFERROR(VLOOKUP(B241,colony!$A:$T,16,FALSE()),"")</f>
        <v/>
      </c>
    </row>
    <row r="242" customFormat="false" ht="15" hidden="false" customHeight="false" outlineLevel="0" collapsed="false">
      <c r="A242" s="7" t="s">
        <v>1582</v>
      </c>
      <c r="B242" s="12"/>
      <c r="C242" s="8" t="s">
        <v>40</v>
      </c>
      <c r="D242" s="8" t="s">
        <v>46</v>
      </c>
      <c r="E242" s="8" t="s">
        <v>104</v>
      </c>
      <c r="F242" s="9" t="n">
        <v>45726</v>
      </c>
      <c r="G242" s="8" t="n">
        <f aca="true">IF(F242="","",ROUND((IF(H242="",TODAY(),H242)-F242)/7,1))</f>
        <v>25.6</v>
      </c>
      <c r="H242" s="9" t="n">
        <v>45905</v>
      </c>
      <c r="I242" s="8"/>
      <c r="J242" s="8" t="s">
        <v>1583</v>
      </c>
      <c r="K242" s="13" t="str">
        <f aca="false">IFERROR(VLOOKUP(B242,colony!$A:$T,16,FALSE()),"")</f>
        <v/>
      </c>
    </row>
    <row r="243" customFormat="false" ht="15" hidden="false" customHeight="false" outlineLevel="0" collapsed="false">
      <c r="A243" s="7" t="s">
        <v>1584</v>
      </c>
      <c r="B243" s="12"/>
      <c r="C243" s="8" t="s">
        <v>40</v>
      </c>
      <c r="D243" s="8" t="s">
        <v>33</v>
      </c>
      <c r="E243" s="8" t="s">
        <v>114</v>
      </c>
      <c r="F243" s="9" t="n">
        <v>45853</v>
      </c>
      <c r="G243" s="8" t="n">
        <f aca="true">IF(F243="","",ROUND((IF(H243="",TODAY(),H243)-F243)/7,1))</f>
        <v>10.1</v>
      </c>
      <c r="H243" s="9" t="n">
        <v>45924</v>
      </c>
      <c r="I243" s="8"/>
      <c r="J243" s="8" t="s">
        <v>1585</v>
      </c>
      <c r="K243" s="13" t="str">
        <f aca="false">IFERROR(VLOOKUP(B243,colony!$A:$T,16,FALSE()),"")</f>
        <v/>
      </c>
    </row>
    <row r="244" customFormat="false" ht="15" hidden="false" customHeight="false" outlineLevel="0" collapsed="false">
      <c r="A244" s="7" t="s">
        <v>1586</v>
      </c>
      <c r="B244" s="12"/>
      <c r="C244" s="8" t="s">
        <v>40</v>
      </c>
      <c r="D244" s="8" t="s">
        <v>46</v>
      </c>
      <c r="E244" s="8" t="s">
        <v>104</v>
      </c>
      <c r="F244" s="9" t="n">
        <v>45853</v>
      </c>
      <c r="G244" s="8" t="n">
        <f aca="true">IF(F244="","",ROUND((IF(H244="",TODAY(),H244)-F244)/7,1))</f>
        <v>10.4</v>
      </c>
      <c r="H244" s="9" t="n">
        <v>45926</v>
      </c>
      <c r="I244" s="8"/>
      <c r="J244" s="8" t="s">
        <v>1587</v>
      </c>
      <c r="K244" s="13" t="str">
        <f aca="false">IFERROR(VLOOKUP(B244,colony!$A:$T,16,FALSE()),"")</f>
        <v/>
      </c>
    </row>
    <row r="245" customFormat="false" ht="15" hidden="false" customHeight="false" outlineLevel="0" collapsed="false">
      <c r="A245" s="7" t="s">
        <v>1588</v>
      </c>
      <c r="B245" s="12"/>
      <c r="C245" s="8" t="s">
        <v>40</v>
      </c>
      <c r="D245" s="8" t="s">
        <v>33</v>
      </c>
      <c r="E245" s="8" t="s">
        <v>119</v>
      </c>
      <c r="F245" s="9" t="n">
        <v>45674</v>
      </c>
      <c r="G245" s="8" t="n">
        <f aca="true">IF(F245="","",ROUND((IF(H245="",TODAY(),H245)-F245)/7,1))</f>
        <v>36</v>
      </c>
      <c r="H245" s="9" t="n">
        <v>45926</v>
      </c>
      <c r="I245" s="8"/>
      <c r="J245" s="8" t="s">
        <v>1589</v>
      </c>
      <c r="K245" s="13" t="str">
        <f aca="false">IFERROR(VLOOKUP(B245,colony!$A:$T,16,FALSE()),"")</f>
        <v/>
      </c>
    </row>
    <row r="246" customFormat="false" ht="15" hidden="false" customHeight="false" outlineLevel="0" collapsed="false">
      <c r="A246" s="7" t="s">
        <v>1590</v>
      </c>
      <c r="B246" s="12"/>
      <c r="C246" s="8" t="s">
        <v>40</v>
      </c>
      <c r="D246" s="8" t="s">
        <v>33</v>
      </c>
      <c r="E246" s="8" t="s">
        <v>119</v>
      </c>
      <c r="F246" s="9" t="n">
        <v>45674</v>
      </c>
      <c r="G246" s="8" t="n">
        <f aca="true">IF(F246="","",ROUND((IF(H246="",TODAY(),H246)-F246)/7,1))</f>
        <v>36.4</v>
      </c>
      <c r="H246" s="9" t="n">
        <v>45929</v>
      </c>
      <c r="I246" s="8"/>
      <c r="J246" s="8" t="s">
        <v>1591</v>
      </c>
      <c r="K246" s="13" t="str">
        <f aca="false">IFERROR(VLOOKUP(B246,colony!$A:$T,16,FALSE()),"")</f>
        <v/>
      </c>
    </row>
    <row r="247" customFormat="false" ht="15" hidden="false" customHeight="false" outlineLevel="0" collapsed="false">
      <c r="A247" s="7" t="s">
        <v>1592</v>
      </c>
      <c r="B247" s="12"/>
      <c r="C247" s="8" t="s">
        <v>40</v>
      </c>
      <c r="D247" s="8" t="s">
        <v>33</v>
      </c>
      <c r="E247" s="8" t="s">
        <v>119</v>
      </c>
      <c r="F247" s="9" t="n">
        <v>45771</v>
      </c>
      <c r="G247" s="8" t="n">
        <f aca="true">IF(F247="","",ROUND((IF(H247="",TODAY(),H247)-F247)/7,1))</f>
        <v>23.1</v>
      </c>
      <c r="H247" s="9" t="n">
        <v>45933</v>
      </c>
      <c r="I247" s="8"/>
      <c r="J247" s="8" t="s">
        <v>1563</v>
      </c>
      <c r="K247" s="13" t="str">
        <f aca="false">IFERROR(VLOOKUP(B247,colony!$A:$T,16,FALSE()),"")</f>
        <v/>
      </c>
    </row>
    <row r="248" customFormat="false" ht="15" hidden="false" customHeight="false" outlineLevel="0" collapsed="false">
      <c r="A248" s="7" t="s">
        <v>1593</v>
      </c>
      <c r="B248" s="12"/>
      <c r="C248" s="8" t="s">
        <v>40</v>
      </c>
      <c r="D248" s="8" t="s">
        <v>33</v>
      </c>
      <c r="E248" s="8" t="s">
        <v>114</v>
      </c>
      <c r="F248" s="9" t="n">
        <v>45853</v>
      </c>
      <c r="G248" s="8" t="n">
        <f aca="true">IF(F248="","",ROUND((IF(H248="",TODAY(),H248)-F248)/7,1))</f>
        <v>11.9</v>
      </c>
      <c r="H248" s="9" t="n">
        <v>45936</v>
      </c>
      <c r="I248" s="8"/>
      <c r="J248" s="8" t="s">
        <v>1594</v>
      </c>
      <c r="K248" s="13" t="str">
        <f aca="false">IFERROR(VLOOKUP(B248,colony!$A:$T,16,FALSE()),"")</f>
        <v/>
      </c>
    </row>
    <row r="249" customFormat="false" ht="15" hidden="false" customHeight="false" outlineLevel="0" collapsed="false">
      <c r="A249" s="7" t="s">
        <v>1595</v>
      </c>
      <c r="B249" s="12"/>
      <c r="C249" s="8" t="s">
        <v>40</v>
      </c>
      <c r="D249" s="8" t="s">
        <v>33</v>
      </c>
      <c r="E249" s="8" t="s">
        <v>119</v>
      </c>
      <c r="F249" s="9" t="n">
        <v>45771</v>
      </c>
      <c r="G249" s="8" t="n">
        <f aca="true">IF(F249="","",ROUND((IF(H249="",TODAY(),H249)-F249)/7,1))</f>
        <v>23.7</v>
      </c>
      <c r="H249" s="9" t="n">
        <v>45937</v>
      </c>
      <c r="I249" s="8"/>
      <c r="J249" s="8" t="s">
        <v>1596</v>
      </c>
      <c r="K249" s="13" t="str">
        <f aca="false">IFERROR(VLOOKUP(B249,colony!$A:$T,16,FALSE()),"")</f>
        <v/>
      </c>
    </row>
    <row r="250" customFormat="false" ht="15" hidden="false" customHeight="false" outlineLevel="0" collapsed="false">
      <c r="A250" s="7" t="s">
        <v>1597</v>
      </c>
      <c r="B250" s="12"/>
      <c r="C250" s="8" t="s">
        <v>40</v>
      </c>
      <c r="D250" s="8" t="s">
        <v>33</v>
      </c>
      <c r="E250" s="8" t="s">
        <v>114</v>
      </c>
      <c r="F250" s="9" t="n">
        <v>45853</v>
      </c>
      <c r="G250" s="8" t="n">
        <f aca="true">IF(F250="","",ROUND((IF(H250="",TODAY(),H250)-F250)/7,1))</f>
        <v>13.3</v>
      </c>
      <c r="H250" s="9" t="n">
        <v>45946</v>
      </c>
      <c r="I250" s="8"/>
      <c r="J250" s="8" t="s">
        <v>1598</v>
      </c>
      <c r="K250" s="13" t="str">
        <f aca="false">IFERROR(VLOOKUP(B250,colony!$A:$T,16,FALSE()),"")</f>
        <v/>
      </c>
    </row>
    <row r="251" customFormat="false" ht="15" hidden="false" customHeight="false" outlineLevel="0" collapsed="false">
      <c r="A251" s="7" t="s">
        <v>1599</v>
      </c>
      <c r="B251" s="12"/>
      <c r="C251" s="8" t="s">
        <v>40</v>
      </c>
      <c r="D251" s="8" t="s">
        <v>33</v>
      </c>
      <c r="E251" s="8" t="s">
        <v>114</v>
      </c>
      <c r="F251" s="9" t="n">
        <v>45853</v>
      </c>
      <c r="G251" s="8" t="n">
        <f aca="true">IF(F251="","",ROUND((IF(H251="",TODAY(),H251)-F251)/7,1))</f>
        <v>14.3</v>
      </c>
      <c r="H251" s="9" t="n">
        <v>45953</v>
      </c>
      <c r="I251" s="8"/>
      <c r="J251" s="8" t="s">
        <v>1600</v>
      </c>
      <c r="K251" s="13" t="str">
        <f aca="false">IFERROR(VLOOKUP(B251,colony!$A:$T,16,FALSE()),"")</f>
        <v/>
      </c>
    </row>
    <row r="252" customFormat="false" ht="15" hidden="false" customHeight="false" outlineLevel="0" collapsed="false">
      <c r="A252" s="7" t="s">
        <v>1601</v>
      </c>
      <c r="B252" s="12"/>
      <c r="C252" s="8" t="s">
        <v>40</v>
      </c>
      <c r="D252" s="8" t="s">
        <v>33</v>
      </c>
      <c r="E252" s="8" t="s">
        <v>114</v>
      </c>
      <c r="F252" s="9" t="n">
        <v>45853</v>
      </c>
      <c r="G252" s="8" t="n">
        <f aca="true">IF(F252="","",ROUND((IF(H252="",TODAY(),H252)-F252)/7,1))</f>
        <v>17.4</v>
      </c>
      <c r="H252" s="9" t="n">
        <v>45975</v>
      </c>
      <c r="I252" s="8"/>
      <c r="J252" s="8" t="s">
        <v>1602</v>
      </c>
      <c r="K252" s="13" t="str">
        <f aca="false">IFERROR(VLOOKUP(B252,colony!$A:$T,16,FALSE()),"")</f>
        <v/>
      </c>
    </row>
    <row r="253" customFormat="false" ht="15" hidden="false" customHeight="false" outlineLevel="0" collapsed="false">
      <c r="A253" s="7" t="s">
        <v>1603</v>
      </c>
      <c r="B253" s="12"/>
      <c r="C253" s="8" t="s">
        <v>40</v>
      </c>
      <c r="D253" s="8" t="s">
        <v>46</v>
      </c>
      <c r="E253" s="8" t="s">
        <v>104</v>
      </c>
      <c r="F253" s="9" t="n">
        <v>45853</v>
      </c>
      <c r="G253" s="8" t="n">
        <f aca="true">IF(F253="","",ROUND((IF(H253="",TODAY(),H253)-F253)/7,1))</f>
        <v>16.1</v>
      </c>
      <c r="H253" s="9" t="n">
        <v>45966</v>
      </c>
      <c r="I253" s="8"/>
      <c r="J253" s="8" t="s">
        <v>1604</v>
      </c>
      <c r="K253" s="13" t="str">
        <f aca="false">IFERROR(VLOOKUP(B253,colony!$A:$T,16,FALSE()),"")</f>
        <v/>
      </c>
    </row>
    <row r="254" customFormat="false" ht="15" hidden="false" customHeight="false" outlineLevel="0" collapsed="false">
      <c r="A254" s="7" t="s">
        <v>1605</v>
      </c>
      <c r="B254" s="12"/>
      <c r="C254" s="8" t="s">
        <v>40</v>
      </c>
      <c r="D254" s="8" t="s">
        <v>46</v>
      </c>
      <c r="E254" s="8" t="s">
        <v>104</v>
      </c>
      <c r="F254" s="9" t="n">
        <v>45853</v>
      </c>
      <c r="G254" s="8" t="n">
        <f aca="true">IF(F254="","",ROUND((IF(H254="",TODAY(),H254)-F254)/7,1))</f>
        <v>16.1</v>
      </c>
      <c r="H254" s="9" t="n">
        <v>45966</v>
      </c>
      <c r="I254" s="8"/>
      <c r="J254" s="8" t="s">
        <v>1606</v>
      </c>
      <c r="K254" s="13" t="str">
        <f aca="false">IFERROR(VLOOKUP(B254,colony!$A:$T,16,FALSE()),"")</f>
        <v/>
      </c>
    </row>
    <row r="255" customFormat="false" ht="15" hidden="false" customHeight="false" outlineLevel="0" collapsed="false">
      <c r="A255" s="7" t="s">
        <v>1607</v>
      </c>
      <c r="B255" s="12"/>
      <c r="C255" s="8" t="s">
        <v>40</v>
      </c>
      <c r="D255" s="8" t="s">
        <v>33</v>
      </c>
      <c r="E255" s="8" t="s">
        <v>104</v>
      </c>
      <c r="F255" s="9" t="n">
        <v>45915</v>
      </c>
      <c r="G255" s="8" t="n">
        <f aca="true">IF(F255="","",ROUND((IF(H255="",TODAY(),H255)-F255)/7,1))</f>
        <v>12.3</v>
      </c>
      <c r="H255" s="9" t="n">
        <v>46001</v>
      </c>
      <c r="I255" s="8" t="s">
        <v>81</v>
      </c>
      <c r="J255" s="8" t="s">
        <v>1608</v>
      </c>
      <c r="K255" s="13" t="str">
        <f aca="false">IFERROR(VLOOKUP(B255,colony!$A:$T,16,FALSE()),"")</f>
        <v/>
      </c>
    </row>
    <row r="256" customFormat="false" ht="15" hidden="false" customHeight="false" outlineLevel="0" collapsed="false">
      <c r="A256" s="7" t="s">
        <v>1609</v>
      </c>
      <c r="B256" s="12"/>
      <c r="C256" s="8" t="s">
        <v>40</v>
      </c>
      <c r="D256" s="8" t="s">
        <v>33</v>
      </c>
      <c r="E256" s="8" t="s">
        <v>104</v>
      </c>
      <c r="F256" s="9" t="n">
        <v>45915</v>
      </c>
      <c r="G256" s="8" t="n">
        <f aca="true">IF(F256="","",ROUND((IF(H256="",TODAY(),H256)-F256)/7,1))</f>
        <v>12.3</v>
      </c>
      <c r="H256" s="9" t="n">
        <v>46001</v>
      </c>
      <c r="I256" s="8" t="s">
        <v>81</v>
      </c>
      <c r="J256" s="8" t="s">
        <v>1610</v>
      </c>
      <c r="K256" s="13" t="str">
        <f aca="false">IFERROR(VLOOKUP(B256,colony!$A:$T,16,FALSE()),"")</f>
        <v/>
      </c>
    </row>
    <row r="257" customFormat="false" ht="15" hidden="false" customHeight="false" outlineLevel="0" collapsed="false">
      <c r="A257" s="7" t="s">
        <v>1611</v>
      </c>
      <c r="B257" s="12"/>
      <c r="C257" s="8" t="s">
        <v>40</v>
      </c>
      <c r="D257" s="8" t="s">
        <v>33</v>
      </c>
      <c r="E257" s="8" t="s">
        <v>104</v>
      </c>
      <c r="F257" s="9" t="n">
        <v>45915</v>
      </c>
      <c r="G257" s="8" t="n">
        <f aca="true">IF(F257="","",ROUND((IF(H257="",TODAY(),H257)-F257)/7,1))</f>
        <v>12.3</v>
      </c>
      <c r="H257" s="9" t="n">
        <v>46001</v>
      </c>
      <c r="I257" s="8" t="s">
        <v>81</v>
      </c>
      <c r="J257" s="8" t="s">
        <v>1612</v>
      </c>
      <c r="K257" s="13" t="str">
        <f aca="false">IFERROR(VLOOKUP(B257,colony!$A:$T,16,FALSE()),"")</f>
        <v/>
      </c>
    </row>
    <row r="258" customFormat="false" ht="15" hidden="false" customHeight="false" outlineLevel="0" collapsed="false">
      <c r="A258" s="7" t="s">
        <v>1613</v>
      </c>
      <c r="B258" s="12"/>
      <c r="C258" s="8" t="s">
        <v>40</v>
      </c>
      <c r="D258" s="8" t="s">
        <v>33</v>
      </c>
      <c r="E258" s="8" t="s">
        <v>104</v>
      </c>
      <c r="F258" s="9" t="n">
        <v>45915</v>
      </c>
      <c r="G258" s="8" t="n">
        <f aca="true">IF(F258="","",ROUND((IF(H258="",TODAY(),H258)-F258)/7,1))</f>
        <v>12.3</v>
      </c>
      <c r="H258" s="9" t="n">
        <v>46001</v>
      </c>
      <c r="I258" s="8" t="s">
        <v>81</v>
      </c>
      <c r="J258" s="8" t="s">
        <v>1614</v>
      </c>
      <c r="K258" s="13" t="str">
        <f aca="false">IFERROR(VLOOKUP(B258,colony!$A:$T,16,FALSE()),"")</f>
        <v/>
      </c>
    </row>
    <row r="259" customFormat="false" ht="15" hidden="false" customHeight="false" outlineLevel="0" collapsed="false">
      <c r="A259" s="7" t="s">
        <v>1615</v>
      </c>
      <c r="B259" s="12"/>
      <c r="C259" s="8" t="s">
        <v>40</v>
      </c>
      <c r="D259" s="8" t="s">
        <v>46</v>
      </c>
      <c r="E259" s="8" t="s">
        <v>114</v>
      </c>
      <c r="F259" s="9" t="n">
        <v>45737</v>
      </c>
      <c r="G259" s="8" t="n">
        <f aca="true">IF(F259="","",ROUND((IF(H259="",TODAY(),H259)-F259)/7,1))</f>
        <v>37.7</v>
      </c>
      <c r="H259" s="9" t="n">
        <v>46001</v>
      </c>
      <c r="I259" s="8"/>
      <c r="J259" s="8" t="s">
        <v>1616</v>
      </c>
      <c r="K259" s="13" t="str">
        <f aca="false">IFERROR(VLOOKUP(B259,colony!$A:$T,16,FALSE()),"")</f>
        <v/>
      </c>
    </row>
    <row r="260" customFormat="false" ht="15" hidden="false" customHeight="false" outlineLevel="0" collapsed="false">
      <c r="A260" s="7" t="s">
        <v>1617</v>
      </c>
      <c r="B260" s="12"/>
      <c r="C260" s="8" t="s">
        <v>40</v>
      </c>
      <c r="D260" s="8" t="s">
        <v>46</v>
      </c>
      <c r="E260" s="8" t="s">
        <v>114</v>
      </c>
      <c r="F260" s="9" t="n">
        <v>45737</v>
      </c>
      <c r="G260" s="8" t="n">
        <f aca="true">IF(F260="","",ROUND((IF(H260="",TODAY(),H260)-F260)/7,1))</f>
        <v>38</v>
      </c>
      <c r="H260" s="9" t="n">
        <v>46003</v>
      </c>
      <c r="I260" s="8"/>
      <c r="J260" s="8" t="s">
        <v>1618</v>
      </c>
      <c r="K260" s="13" t="str">
        <f aca="false">IFERROR(VLOOKUP(B260,colony!$A:$T,16,FALSE()),"")</f>
        <v/>
      </c>
    </row>
    <row r="261" customFormat="false" ht="15" hidden="false" customHeight="false" outlineLevel="0" collapsed="false">
      <c r="A261" s="7" t="s">
        <v>1619</v>
      </c>
      <c r="B261" s="12"/>
      <c r="C261" s="8" t="s">
        <v>40</v>
      </c>
      <c r="D261" s="8" t="s">
        <v>33</v>
      </c>
      <c r="E261" s="8" t="s">
        <v>114</v>
      </c>
      <c r="F261" s="9" t="n">
        <v>45933</v>
      </c>
      <c r="G261" s="8" t="n">
        <f aca="true">IF(F261="","",ROUND((IF(H261="",TODAY(),H261)-F261)/7,1))</f>
        <v>8</v>
      </c>
      <c r="H261" s="9" t="n">
        <v>45989</v>
      </c>
      <c r="I261" s="8"/>
      <c r="J261" s="8" t="s">
        <v>1620</v>
      </c>
      <c r="K261" s="13" t="str">
        <f aca="false">IFERROR(VLOOKUP(B261,colony!$A:$T,16,FALSE()),"")</f>
        <v/>
      </c>
    </row>
    <row r="262" customFormat="false" ht="15" hidden="false" customHeight="false" outlineLevel="0" collapsed="false">
      <c r="A262" s="7" t="s">
        <v>1621</v>
      </c>
      <c r="B262" s="12"/>
      <c r="C262" s="8" t="s">
        <v>40</v>
      </c>
      <c r="D262" s="8" t="s">
        <v>33</v>
      </c>
      <c r="E262" s="8" t="s">
        <v>114</v>
      </c>
      <c r="F262" s="9" t="n">
        <v>45932</v>
      </c>
      <c r="G262" s="8" t="n">
        <f aca="true">IF(F262="","",ROUND((IF(H262="",TODAY(),H262)-F262)/7,1))</f>
        <v>10.3</v>
      </c>
      <c r="H262" s="9" t="n">
        <v>46004</v>
      </c>
      <c r="I262" s="8"/>
      <c r="J262" s="8" t="s">
        <v>1622</v>
      </c>
      <c r="K262" s="13" t="str">
        <f aca="false">IFERROR(VLOOKUP(B262,colony!$A:$T,16,FALSE()),"")</f>
        <v/>
      </c>
    </row>
    <row r="263" customFormat="false" ht="15" hidden="false" customHeight="false" outlineLevel="0" collapsed="false">
      <c r="A263" s="7" t="s">
        <v>1623</v>
      </c>
      <c r="B263" s="12"/>
      <c r="C263" s="8" t="s">
        <v>40</v>
      </c>
      <c r="D263" s="8" t="s">
        <v>33</v>
      </c>
      <c r="E263" s="8" t="s">
        <v>119</v>
      </c>
      <c r="F263" s="9" t="n">
        <v>45904</v>
      </c>
      <c r="G263" s="8" t="n">
        <f aca="true">IF(F263="","",ROUND((IF(H263="",TODAY(),H263)-F263)/7,1))</f>
        <v>14.9</v>
      </c>
      <c r="H263" s="9" t="n">
        <v>46008</v>
      </c>
      <c r="I263" s="8"/>
      <c r="J263" s="8" t="s">
        <v>1624</v>
      </c>
      <c r="K263" s="13" t="str">
        <f aca="false">IFERROR(VLOOKUP(B263,colony!$A:$T,16,FALSE()),"")</f>
        <v/>
      </c>
    </row>
    <row r="264" customFormat="false" ht="15" hidden="false" customHeight="false" outlineLevel="0" collapsed="false">
      <c r="A264" s="7" t="s">
        <v>1625</v>
      </c>
      <c r="B264" s="12"/>
      <c r="C264" s="8" t="s">
        <v>40</v>
      </c>
      <c r="D264" s="8" t="s">
        <v>33</v>
      </c>
      <c r="E264" s="8" t="s">
        <v>104</v>
      </c>
      <c r="F264" s="9" t="n">
        <v>45915</v>
      </c>
      <c r="G264" s="8" t="n">
        <f aca="true">IF(F264="","",ROUND((IF(H264="",TODAY(),H264)-F264)/7,1))</f>
        <v>13.3</v>
      </c>
      <c r="H264" s="9" t="n">
        <v>46008</v>
      </c>
      <c r="I264" s="8"/>
      <c r="J264" s="8" t="s">
        <v>1626</v>
      </c>
      <c r="K264" s="13" t="str">
        <f aca="false">IFERROR(VLOOKUP(B264,colony!$A:$T,16,FALSE()),"")</f>
        <v/>
      </c>
    </row>
    <row r="265" customFormat="false" ht="15" hidden="false" customHeight="false" outlineLevel="0" collapsed="false">
      <c r="A265" s="7" t="s">
        <v>1627</v>
      </c>
      <c r="B265" s="12"/>
      <c r="C265" s="8" t="s">
        <v>40</v>
      </c>
      <c r="D265" s="8" t="s">
        <v>33</v>
      </c>
      <c r="E265" s="8" t="s">
        <v>104</v>
      </c>
      <c r="F265" s="9" t="n">
        <v>45915</v>
      </c>
      <c r="G265" s="8" t="n">
        <f aca="true">IF(F265="","",ROUND((IF(H265="",TODAY(),H265)-F265)/7,1))</f>
        <v>18.1</v>
      </c>
      <c r="H265" s="9" t="n">
        <v>46042</v>
      </c>
      <c r="I265" s="8"/>
      <c r="J265" s="8" t="s">
        <v>1626</v>
      </c>
      <c r="K265" s="13" t="str">
        <f aca="false">IFERROR(VLOOKUP(B265,colony!$A:$T,16,FALSE()),"")</f>
        <v/>
      </c>
    </row>
    <row r="266" customFormat="false" ht="15" hidden="false" customHeight="false" outlineLevel="0" collapsed="false">
      <c r="A266" s="7" t="s">
        <v>1628</v>
      </c>
      <c r="B266" s="12"/>
      <c r="C266" s="8" t="s">
        <v>40</v>
      </c>
      <c r="D266" s="8" t="s">
        <v>33</v>
      </c>
      <c r="E266" s="8" t="s">
        <v>104</v>
      </c>
      <c r="F266" s="9" t="n">
        <v>45901</v>
      </c>
      <c r="G266" s="8" t="n">
        <f aca="true">IF(F266="","",ROUND((IF(H266="",TODAY(),H266)-F266)/7,1))</f>
        <v>20.4</v>
      </c>
      <c r="H266" s="9" t="n">
        <v>46044</v>
      </c>
      <c r="I266" s="8"/>
      <c r="J266" s="8" t="s">
        <v>1629</v>
      </c>
      <c r="K266" s="13" t="str">
        <f aca="false">IFERROR(VLOOKUP(B266,colony!$A:$T,16,FALSE()),"")</f>
        <v/>
      </c>
    </row>
    <row r="267" customFormat="false" ht="15" hidden="false" customHeight="false" outlineLevel="0" collapsed="false">
      <c r="A267" s="7" t="s">
        <v>1630</v>
      </c>
      <c r="B267" s="12"/>
      <c r="C267" s="8" t="s">
        <v>40</v>
      </c>
      <c r="D267" s="8" t="s">
        <v>33</v>
      </c>
      <c r="E267" s="8" t="s">
        <v>104</v>
      </c>
      <c r="F267" s="9" t="n">
        <v>45901</v>
      </c>
      <c r="G267" s="8" t="n">
        <f aca="true">IF(F267="","",ROUND((IF(H267="",TODAY(),H267)-F267)/7,1))</f>
        <v>22.3</v>
      </c>
      <c r="H267" s="9" t="n">
        <v>46057</v>
      </c>
      <c r="I267" s="8"/>
      <c r="J267" s="8" t="s">
        <v>1631</v>
      </c>
      <c r="K267" s="13" t="str">
        <f aca="false">IFERROR(VLOOKUP(B267,colony!$A:$T,16,FALSE()),"")</f>
        <v/>
      </c>
    </row>
    <row r="268" customFormat="false" ht="15" hidden="false" customHeight="false" outlineLevel="0" collapsed="false">
      <c r="A268" s="7" t="s">
        <v>1632</v>
      </c>
      <c r="B268" s="12"/>
      <c r="C268" s="8" t="s">
        <v>40</v>
      </c>
      <c r="D268" s="8" t="s">
        <v>33</v>
      </c>
      <c r="E268" s="8" t="s">
        <v>114</v>
      </c>
      <c r="F268" s="9" t="n">
        <v>45933</v>
      </c>
      <c r="G268" s="8" t="n">
        <f aca="true">IF(F268="","",ROUND((IF(H268="",TODAY(),H268)-F268)/7,1))</f>
        <v>17.7</v>
      </c>
      <c r="H268" s="9" t="n">
        <v>46057</v>
      </c>
      <c r="I268" s="8"/>
      <c r="J268" s="8" t="s">
        <v>1633</v>
      </c>
      <c r="K268" s="13" t="str">
        <f aca="false">IFERROR(VLOOKUP(B268,colony!$A:$T,16,FALSE()),"")</f>
        <v/>
      </c>
    </row>
    <row r="269" customFormat="false" ht="15" hidden="false" customHeight="false" outlineLevel="0" collapsed="false">
      <c r="A269" s="7" t="s">
        <v>1634</v>
      </c>
      <c r="B269" s="12"/>
      <c r="C269" s="8" t="s">
        <v>40</v>
      </c>
      <c r="D269" s="8" t="s">
        <v>33</v>
      </c>
      <c r="E269" s="8" t="s">
        <v>104</v>
      </c>
      <c r="F269" s="9" t="n">
        <v>45901</v>
      </c>
      <c r="G269" s="8" t="n">
        <f aca="true">IF(F269="","",ROUND((IF(H269="",TODAY(),H269)-F269)/7,1))</f>
        <v>21</v>
      </c>
      <c r="H269" s="9" t="n">
        <v>46048</v>
      </c>
      <c r="I269" s="8"/>
      <c r="J269" s="8" t="s">
        <v>1635</v>
      </c>
      <c r="K269" s="13" t="str">
        <f aca="false">IFERROR(VLOOKUP(B269,colony!$A:$T,16,FALSE()),"")</f>
        <v/>
      </c>
    </row>
    <row r="270" customFormat="false" ht="15" hidden="false" customHeight="false" outlineLevel="0" collapsed="false">
      <c r="A270" s="7" t="s">
        <v>1636</v>
      </c>
      <c r="B270" s="12"/>
      <c r="C270" s="8" t="s">
        <v>40</v>
      </c>
      <c r="D270" s="8" t="s">
        <v>33</v>
      </c>
      <c r="E270" s="8" t="s">
        <v>104</v>
      </c>
      <c r="F270" s="9" t="n">
        <v>45901</v>
      </c>
      <c r="G270" s="8" t="n">
        <f aca="true">IF(F270="","",ROUND((IF(H270="",TODAY(),H270)-F270)/7,1))</f>
        <v>23.1</v>
      </c>
      <c r="H270" s="9" t="n">
        <v>46063</v>
      </c>
      <c r="I270" s="8"/>
      <c r="J270" s="8" t="s">
        <v>1637</v>
      </c>
      <c r="K270" s="13" t="str">
        <f aca="false">IFERROR(VLOOKUP(B270,colony!$A:$T,16,FALSE()),"")</f>
        <v/>
      </c>
    </row>
    <row r="271" customFormat="false" ht="15" hidden="false" customHeight="false" outlineLevel="0" collapsed="false">
      <c r="A271" s="7" t="s">
        <v>1638</v>
      </c>
      <c r="B271" s="12"/>
      <c r="C271" s="8" t="s">
        <v>40</v>
      </c>
      <c r="D271" s="8" t="s">
        <v>33</v>
      </c>
      <c r="E271" s="8" t="s">
        <v>104</v>
      </c>
      <c r="F271" s="9" t="n">
        <v>46022</v>
      </c>
      <c r="G271" s="8" t="n">
        <f aca="true">IF(F271="","",ROUND((IF(H271="",TODAY(),H271)-F271)/7,1))</f>
        <v>8.6</v>
      </c>
      <c r="H271" s="9" t="n">
        <v>46082</v>
      </c>
      <c r="I271" s="8"/>
      <c r="J271" s="8" t="s">
        <v>1639</v>
      </c>
      <c r="K271" s="13" t="str">
        <f aca="false">IFERROR(VLOOKUP(B271,colony!$A:$T,16,FALSE()),"")</f>
        <v/>
      </c>
    </row>
    <row r="272" customFormat="false" ht="15" hidden="false" customHeight="false" outlineLevel="0" collapsed="false">
      <c r="A272" s="7" t="s">
        <v>1640</v>
      </c>
      <c r="B272" s="12"/>
      <c r="C272" s="8" t="s">
        <v>40</v>
      </c>
      <c r="D272" s="8" t="s">
        <v>33</v>
      </c>
      <c r="E272" s="8" t="s">
        <v>104</v>
      </c>
      <c r="F272" s="9" t="n">
        <v>46022</v>
      </c>
      <c r="G272" s="8" t="n">
        <f aca="true">IF(F272="","",ROUND((IF(H272="",TODAY(),H272)-F272)/7,1))</f>
        <v>23.6</v>
      </c>
      <c r="H272" s="8"/>
      <c r="I272" s="8"/>
      <c r="J272" s="8" t="s">
        <v>1641</v>
      </c>
      <c r="K272" s="13" t="str">
        <f aca="false">IFERROR(VLOOKUP(B272,colony!$A:$T,16,FALSE()),"")</f>
        <v/>
      </c>
    </row>
    <row r="273" customFormat="false" ht="15" hidden="false" customHeight="false" outlineLevel="0" collapsed="false">
      <c r="A273" s="7" t="s">
        <v>1642</v>
      </c>
      <c r="B273" s="12"/>
      <c r="C273" s="8" t="s">
        <v>40</v>
      </c>
      <c r="D273" s="8" t="s">
        <v>33</v>
      </c>
      <c r="E273" s="8" t="s">
        <v>104</v>
      </c>
      <c r="F273" s="9" t="n">
        <v>46022</v>
      </c>
      <c r="G273" s="8" t="n">
        <f aca="true">IF(F273="","",ROUND((IF(H273="",TODAY(),H273)-F273)/7,1))</f>
        <v>23.6</v>
      </c>
      <c r="H273" s="8"/>
      <c r="I273" s="8"/>
      <c r="J273" s="8" t="s">
        <v>1643</v>
      </c>
      <c r="K273" s="13" t="str">
        <f aca="false">IFERROR(VLOOKUP(B273,colony!$A:$T,16,FALSE()),"")</f>
        <v/>
      </c>
    </row>
    <row r="274" customFormat="false" ht="15" hidden="false" customHeight="false" outlineLevel="0" collapsed="false">
      <c r="A274" s="7" t="s">
        <v>1644</v>
      </c>
      <c r="B274" s="12"/>
      <c r="C274" s="8" t="s">
        <v>40</v>
      </c>
      <c r="D274" s="8" t="s">
        <v>33</v>
      </c>
      <c r="E274" s="8" t="s">
        <v>119</v>
      </c>
      <c r="F274" s="9" t="n">
        <v>45904</v>
      </c>
      <c r="G274" s="8" t="n">
        <f aca="true">IF(F274="","",ROUND((IF(H274="",TODAY(),H274)-F274)/7,1))</f>
        <v>21</v>
      </c>
      <c r="H274" s="9" t="n">
        <v>46051</v>
      </c>
      <c r="I274" s="8"/>
      <c r="J274" s="8" t="s">
        <v>1645</v>
      </c>
      <c r="K274" s="13" t="str">
        <f aca="false">IFERROR(VLOOKUP(B274,colony!$A:$T,16,FALSE()),"")</f>
        <v/>
      </c>
    </row>
    <row r="275" customFormat="false" ht="15" hidden="false" customHeight="false" outlineLevel="0" collapsed="false">
      <c r="A275" s="7" t="s">
        <v>1646</v>
      </c>
      <c r="B275" s="12"/>
      <c r="C275" s="8" t="s">
        <v>40</v>
      </c>
      <c r="D275" s="8" t="s">
        <v>33</v>
      </c>
      <c r="E275" s="8" t="s">
        <v>104</v>
      </c>
      <c r="F275" s="9" t="n">
        <v>45901</v>
      </c>
      <c r="G275" s="8" t="n">
        <f aca="true">IF(F275="","",ROUND((IF(H275="",TODAY(),H275)-F275)/7,1))</f>
        <v>23.1</v>
      </c>
      <c r="H275" s="9" t="n">
        <v>46063</v>
      </c>
      <c r="I275" s="8"/>
      <c r="J275" s="8" t="s">
        <v>1647</v>
      </c>
      <c r="K275" s="13" t="str">
        <f aca="false">IFERROR(VLOOKUP(B275,colony!$A:$T,16,FALSE()),"")</f>
        <v/>
      </c>
    </row>
    <row r="276" customFormat="false" ht="15" hidden="false" customHeight="false" outlineLevel="0" collapsed="false">
      <c r="A276" s="7" t="s">
        <v>1648</v>
      </c>
      <c r="B276" s="12"/>
      <c r="C276" s="8" t="s">
        <v>40</v>
      </c>
      <c r="D276" s="8" t="s">
        <v>46</v>
      </c>
      <c r="E276" s="8" t="s">
        <v>104</v>
      </c>
      <c r="F276" s="9" t="n">
        <v>45853</v>
      </c>
      <c r="G276" s="8" t="n">
        <f aca="true">IF(F276="","",ROUND((IF(H276="",TODAY(),H276)-F276)/7,1))</f>
        <v>30</v>
      </c>
      <c r="H276" s="9" t="n">
        <v>46063</v>
      </c>
      <c r="I276" s="8"/>
      <c r="J276" s="8" t="s">
        <v>1649</v>
      </c>
      <c r="K276" s="13" t="str">
        <f aca="false">IFERROR(VLOOKUP(B276,colony!$A:$T,16,FALSE()),"")</f>
        <v/>
      </c>
    </row>
    <row r="277" customFormat="false" ht="15" hidden="false" customHeight="false" outlineLevel="0" collapsed="false">
      <c r="A277" s="7" t="s">
        <v>1650</v>
      </c>
      <c r="B277" s="12"/>
      <c r="C277" s="8" t="s">
        <v>40</v>
      </c>
      <c r="D277" s="8" t="s">
        <v>46</v>
      </c>
      <c r="E277" s="8" t="s">
        <v>104</v>
      </c>
      <c r="F277" s="9" t="n">
        <v>45853</v>
      </c>
      <c r="G277" s="8" t="n">
        <f aca="true">IF(F277="","",ROUND((IF(H277="",TODAY(),H277)-F277)/7,1))</f>
        <v>30.4</v>
      </c>
      <c r="H277" s="9" t="n">
        <v>46066</v>
      </c>
      <c r="I277" s="8"/>
      <c r="J277" s="8" t="s">
        <v>1651</v>
      </c>
      <c r="K277" s="13" t="str">
        <f aca="false">IFERROR(VLOOKUP(B277,colony!$A:$T,16,FALSE()),"")</f>
        <v/>
      </c>
    </row>
    <row r="278" customFormat="false" ht="15" hidden="false" customHeight="false" outlineLevel="0" collapsed="false">
      <c r="A278" s="7" t="s">
        <v>1652</v>
      </c>
      <c r="B278" s="12"/>
      <c r="C278" s="8" t="s">
        <v>40</v>
      </c>
      <c r="D278" s="8" t="s">
        <v>33</v>
      </c>
      <c r="E278" s="8"/>
      <c r="F278" s="8"/>
      <c r="G278" s="8" t="str">
        <f aca="true">IF(F278="","",ROUND((IF(H278="",TODAY(),H278)-F278)/7,1))</f>
        <v/>
      </c>
      <c r="H278" s="9" t="n">
        <v>46071</v>
      </c>
      <c r="I278" s="8"/>
      <c r="J278" s="8"/>
      <c r="K278" s="13" t="str">
        <f aca="false">IFERROR(VLOOKUP(B278,colony!$A:$T,16,FALSE()),"")</f>
        <v/>
      </c>
    </row>
    <row r="279" customFormat="false" ht="15" hidden="false" customHeight="false" outlineLevel="0" collapsed="false">
      <c r="A279" s="7" t="s">
        <v>1653</v>
      </c>
      <c r="B279" s="12"/>
      <c r="C279" s="8" t="s">
        <v>40</v>
      </c>
      <c r="D279" s="8"/>
      <c r="E279" s="8"/>
      <c r="F279" s="8"/>
      <c r="G279" s="8" t="str">
        <f aca="true">IF(F279="","",ROUND((IF(H279="",TODAY(),H279)-F279)/7,1))</f>
        <v/>
      </c>
      <c r="H279" s="9" t="n">
        <v>46073</v>
      </c>
      <c r="I279" s="8"/>
      <c r="J279" s="8"/>
      <c r="K279" s="13" t="str">
        <f aca="false">IFERROR(VLOOKUP(B279,colony!$A:$T,16,FALSE()),"")</f>
        <v/>
      </c>
    </row>
    <row r="280" customFormat="false" ht="15" hidden="false" customHeight="false" outlineLevel="0" collapsed="false">
      <c r="A280" s="7" t="s">
        <v>1654</v>
      </c>
      <c r="B280" s="12"/>
      <c r="C280" s="8" t="s">
        <v>40</v>
      </c>
      <c r="D280" s="8"/>
      <c r="E280" s="8"/>
      <c r="F280" s="8"/>
      <c r="G280" s="8" t="str">
        <f aca="true">IF(F280="","",ROUND((IF(H280="",TODAY(),H280)-F280)/7,1))</f>
        <v/>
      </c>
      <c r="H280" s="9" t="n">
        <v>46073</v>
      </c>
      <c r="I280" s="8"/>
      <c r="J280" s="8"/>
      <c r="K280" s="13" t="str">
        <f aca="false">IFERROR(VLOOKUP(B280,colony!$A:$T,16,FALSE()),"")</f>
        <v/>
      </c>
    </row>
    <row r="281" customFormat="false" ht="15" hidden="false" customHeight="false" outlineLevel="0" collapsed="false">
      <c r="A281" s="7" t="s">
        <v>1655</v>
      </c>
      <c r="B281" s="12"/>
      <c r="C281" s="8" t="s">
        <v>40</v>
      </c>
      <c r="D281" s="8" t="s">
        <v>33</v>
      </c>
      <c r="E281" s="8" t="s">
        <v>114</v>
      </c>
      <c r="F281" s="8"/>
      <c r="G281" s="8" t="str">
        <f aca="true">IF(F281="","",ROUND((IF(H281="",TODAY(),H281)-F281)/7,1))</f>
        <v/>
      </c>
      <c r="H281" s="9" t="n">
        <v>46091</v>
      </c>
      <c r="I281" s="8"/>
      <c r="J281" s="8" t="s">
        <v>1656</v>
      </c>
      <c r="K281" s="13" t="str">
        <f aca="false">IFERROR(VLOOKUP(B281,colony!$A:$T,16,FALSE()),"")</f>
        <v/>
      </c>
    </row>
    <row r="282" customFormat="false" ht="15" hidden="false" customHeight="false" outlineLevel="0" collapsed="false">
      <c r="A282" s="7" t="s">
        <v>1657</v>
      </c>
      <c r="B282" s="12"/>
      <c r="C282" s="8" t="s">
        <v>40</v>
      </c>
      <c r="D282" s="8" t="s">
        <v>33</v>
      </c>
      <c r="E282" s="8" t="s">
        <v>104</v>
      </c>
      <c r="F282" s="9" t="n">
        <v>46022</v>
      </c>
      <c r="G282" s="8" t="n">
        <f aca="true">IF(F282="","",ROUND((IF(H282="",TODAY(),H282)-F282)/7,1))</f>
        <v>10.1</v>
      </c>
      <c r="H282" s="9" t="n">
        <v>46093</v>
      </c>
      <c r="I282" s="8"/>
      <c r="J282" s="8" t="s">
        <v>1658</v>
      </c>
      <c r="K282" s="13" t="str">
        <f aca="false">IFERROR(VLOOKUP(B282,colony!$A:$T,16,FALSE()),"")</f>
        <v/>
      </c>
    </row>
    <row r="283" customFormat="false" ht="15" hidden="false" customHeight="false" outlineLevel="0" collapsed="false">
      <c r="A283" s="7" t="s">
        <v>1659</v>
      </c>
      <c r="B283" s="12"/>
      <c r="C283" s="8" t="s">
        <v>40</v>
      </c>
      <c r="D283" s="8" t="s">
        <v>33</v>
      </c>
      <c r="E283" s="8" t="s">
        <v>104</v>
      </c>
      <c r="F283" s="9" t="n">
        <v>46022</v>
      </c>
      <c r="G283" s="8" t="n">
        <f aca="true">IF(F283="","",ROUND((IF(H283="",TODAY(),H283)-F283)/7,1))</f>
        <v>11.9</v>
      </c>
      <c r="H283" s="9" t="n">
        <v>46105</v>
      </c>
      <c r="I283" s="8"/>
      <c r="J283" s="8" t="s">
        <v>1660</v>
      </c>
      <c r="K283" s="13" t="str">
        <f aca="false">IFERROR(VLOOKUP(B283,colony!$A:$T,16,FALSE()),"")</f>
        <v/>
      </c>
    </row>
    <row r="284" customFormat="false" ht="15" hidden="false" customHeight="false" outlineLevel="0" collapsed="false">
      <c r="A284" s="7" t="s">
        <v>1661</v>
      </c>
      <c r="B284" s="12"/>
      <c r="C284" s="8" t="s">
        <v>40</v>
      </c>
      <c r="D284" s="8" t="s">
        <v>33</v>
      </c>
      <c r="E284" s="8" t="s">
        <v>104</v>
      </c>
      <c r="F284" s="9" t="n">
        <v>46065</v>
      </c>
      <c r="G284" s="8" t="n">
        <f aca="true">IF(F284="","",ROUND((IF(H284="",TODAY(),H284)-F284)/7,1))</f>
        <v>8</v>
      </c>
      <c r="H284" s="9" t="n">
        <v>46121</v>
      </c>
      <c r="I284" s="8"/>
      <c r="J284" s="8" t="s">
        <v>1662</v>
      </c>
      <c r="K284" s="13" t="str">
        <f aca="false">IFERROR(VLOOKUP(B284,colony!$A:$T,16,FALSE()),"")</f>
        <v/>
      </c>
    </row>
    <row r="285" customFormat="false" ht="15" hidden="false" customHeight="false" outlineLevel="0" collapsed="false">
      <c r="A285" s="7" t="s">
        <v>1663</v>
      </c>
      <c r="B285" s="12"/>
      <c r="C285" s="8" t="s">
        <v>40</v>
      </c>
      <c r="D285" s="8" t="s">
        <v>33</v>
      </c>
      <c r="E285" s="8" t="s">
        <v>114</v>
      </c>
      <c r="F285" s="9" t="n">
        <v>46008</v>
      </c>
      <c r="G285" s="8" t="n">
        <f aca="true">IF(F285="","",ROUND((IF(H285="",TODAY(),H285)-F285)/7,1))</f>
        <v>16.1</v>
      </c>
      <c r="H285" s="9" t="n">
        <v>46121</v>
      </c>
      <c r="I285" s="8"/>
      <c r="J285" s="8" t="s">
        <v>1656</v>
      </c>
      <c r="K285" s="13" t="str">
        <f aca="false">IFERROR(VLOOKUP(B285,colony!$A:$T,16,FALSE()),"")</f>
        <v/>
      </c>
    </row>
    <row r="286" customFormat="false" ht="15" hidden="false" customHeight="false" outlineLevel="0" collapsed="false">
      <c r="A286" s="7" t="s">
        <v>1664</v>
      </c>
      <c r="B286" s="12"/>
      <c r="C286" s="8" t="s">
        <v>40</v>
      </c>
      <c r="D286" s="8" t="s">
        <v>33</v>
      </c>
      <c r="E286" s="8" t="s">
        <v>104</v>
      </c>
      <c r="F286" s="9" t="n">
        <v>46065</v>
      </c>
      <c r="G286" s="8" t="n">
        <f aca="true">IF(F286="","",ROUND((IF(H286="",TODAY(),H286)-F286)/7,1))</f>
        <v>8.1</v>
      </c>
      <c r="H286" s="9" t="n">
        <v>46122</v>
      </c>
      <c r="I286" s="8"/>
      <c r="J286" s="8" t="s">
        <v>1665</v>
      </c>
      <c r="K286" s="13" t="str">
        <f aca="false">IFERROR(VLOOKUP(B286,colony!$A:$T,16,FALSE()),"")</f>
        <v/>
      </c>
    </row>
    <row r="287" customFormat="false" ht="15" hidden="false" customHeight="false" outlineLevel="0" collapsed="false">
      <c r="A287" s="7" t="s">
        <v>1666</v>
      </c>
      <c r="B287" s="12"/>
      <c r="C287" s="8" t="s">
        <v>40</v>
      </c>
      <c r="D287" s="8" t="s">
        <v>46</v>
      </c>
      <c r="E287" s="8" t="s">
        <v>114</v>
      </c>
      <c r="F287" s="9" t="n">
        <v>45933</v>
      </c>
      <c r="G287" s="8" t="n">
        <f aca="true">IF(F287="","",ROUND((IF(H287="",TODAY(),H287)-F287)/7,1))</f>
        <v>27.4</v>
      </c>
      <c r="H287" s="9" t="n">
        <v>46125</v>
      </c>
      <c r="I287" s="8"/>
      <c r="J287" s="8" t="s">
        <v>1667</v>
      </c>
      <c r="K287" s="13" t="str">
        <f aca="false">IFERROR(VLOOKUP(B287,colony!$A:$T,16,FALSE()),"")</f>
        <v/>
      </c>
    </row>
    <row r="288" customFormat="false" ht="15" hidden="false" customHeight="false" outlineLevel="0" collapsed="false">
      <c r="A288" s="7" t="s">
        <v>1668</v>
      </c>
      <c r="B288" s="12"/>
      <c r="C288" s="8" t="s">
        <v>40</v>
      </c>
      <c r="D288" s="8" t="s">
        <v>46</v>
      </c>
      <c r="E288" s="8" t="s">
        <v>114</v>
      </c>
      <c r="F288" s="9" t="n">
        <v>45933</v>
      </c>
      <c r="G288" s="8" t="n">
        <f aca="true">IF(F288="","",ROUND((IF(H288="",TODAY(),H288)-F288)/7,1))</f>
        <v>27.4</v>
      </c>
      <c r="H288" s="9" t="n">
        <v>46125</v>
      </c>
      <c r="I288" s="8"/>
      <c r="J288" s="8" t="s">
        <v>1669</v>
      </c>
      <c r="K288" s="13" t="str">
        <f aca="false">IFERROR(VLOOKUP(B288,colony!$A:$T,16,FALSE()),"")</f>
        <v/>
      </c>
    </row>
    <row r="289" customFormat="false" ht="15" hidden="false" customHeight="false" outlineLevel="0" collapsed="false">
      <c r="A289" s="7" t="s">
        <v>1670</v>
      </c>
      <c r="B289" s="12"/>
      <c r="C289" s="8" t="s">
        <v>40</v>
      </c>
      <c r="D289" s="8" t="s">
        <v>33</v>
      </c>
      <c r="E289" s="8" t="s">
        <v>104</v>
      </c>
      <c r="F289" s="9" t="n">
        <v>46086</v>
      </c>
      <c r="G289" s="8" t="n">
        <f aca="true">IF(F289="","",ROUND((IF(H289="",TODAY(),H289)-F289)/7,1))</f>
        <v>5.6</v>
      </c>
      <c r="H289" s="9" t="n">
        <v>46125</v>
      </c>
      <c r="I289" s="8"/>
      <c r="J289" s="8" t="s">
        <v>1671</v>
      </c>
      <c r="K289" s="13" t="str">
        <f aca="false">IFERROR(VLOOKUP(B289,colony!$A:$T,16,FALSE()),"")</f>
        <v/>
      </c>
    </row>
    <row r="290" customFormat="false" ht="15" hidden="false" customHeight="false" outlineLevel="0" collapsed="false">
      <c r="A290" s="7" t="s">
        <v>1672</v>
      </c>
      <c r="B290" s="12"/>
      <c r="C290" s="8" t="s">
        <v>40</v>
      </c>
      <c r="D290" s="8" t="s">
        <v>33</v>
      </c>
      <c r="E290" s="8" t="s">
        <v>104</v>
      </c>
      <c r="F290" s="9" t="n">
        <v>46086</v>
      </c>
      <c r="G290" s="8" t="n">
        <f aca="true">IF(F290="","",ROUND((IF(H290="",TODAY(),H290)-F290)/7,1))</f>
        <v>7</v>
      </c>
      <c r="H290" s="9" t="n">
        <v>46135</v>
      </c>
      <c r="I290" s="8"/>
      <c r="J290" s="8" t="s">
        <v>1673</v>
      </c>
      <c r="K290" s="13" t="str">
        <f aca="false">IFERROR(VLOOKUP(B290,colony!$A:$T,16,FALSE()),"")</f>
        <v/>
      </c>
    </row>
    <row r="291" customFormat="false" ht="15" hidden="false" customHeight="false" outlineLevel="0" collapsed="false">
      <c r="A291" s="7" t="s">
        <v>1674</v>
      </c>
      <c r="B291" s="12"/>
      <c r="C291" s="8" t="s">
        <v>40</v>
      </c>
      <c r="D291" s="8"/>
      <c r="E291" s="8"/>
      <c r="F291" s="8"/>
      <c r="G291" s="8" t="str">
        <f aca="true">IF(F291="","",ROUND((IF(H291="",TODAY(),H291)-F291)/7,1))</f>
        <v/>
      </c>
      <c r="H291" s="8"/>
      <c r="I291" s="8"/>
      <c r="J291" s="8"/>
      <c r="K291" s="13" t="str">
        <f aca="false">IFERROR(VLOOKUP(B291,colony!$A:$T,16,FALSE()),"")</f>
        <v/>
      </c>
    </row>
    <row r="292" customFormat="false" ht="15" hidden="false" customHeight="false" outlineLevel="0" collapsed="false">
      <c r="A292" s="7" t="s">
        <v>1675</v>
      </c>
      <c r="B292" s="12"/>
      <c r="C292" s="8" t="s">
        <v>40</v>
      </c>
      <c r="D292" s="8"/>
      <c r="E292" s="8"/>
      <c r="F292" s="8"/>
      <c r="G292" s="8" t="str">
        <f aca="true">IF(F292="","",ROUND((IF(H292="",TODAY(),H292)-F292)/7,1))</f>
        <v/>
      </c>
      <c r="H292" s="8"/>
      <c r="I292" s="8"/>
      <c r="J292" s="8"/>
      <c r="K292" s="13" t="str">
        <f aca="false">IFERROR(VLOOKUP(B292,colony!$A:$T,16,FALSE()),"")</f>
        <v/>
      </c>
    </row>
    <row r="293" customFormat="false" ht="15" hidden="false" customHeight="false" outlineLevel="0" collapsed="false">
      <c r="A293" s="7" t="s">
        <v>1676</v>
      </c>
      <c r="B293" s="12"/>
      <c r="C293" s="8" t="s">
        <v>40</v>
      </c>
      <c r="D293" s="8"/>
      <c r="E293" s="8"/>
      <c r="F293" s="8"/>
      <c r="G293" s="8" t="str">
        <f aca="true">IF(F293="","",ROUND((IF(H293="",TODAY(),H293)-F293)/7,1))</f>
        <v/>
      </c>
      <c r="H293" s="8"/>
      <c r="I293" s="8"/>
      <c r="J293" s="8"/>
      <c r="K293" s="13" t="str">
        <f aca="false">IFERROR(VLOOKUP(B293,colony!$A:$T,16,FALSE()),"")</f>
        <v/>
      </c>
    </row>
    <row r="294" customFormat="false" ht="15" hidden="false" customHeight="false" outlineLevel="0" collapsed="false">
      <c r="A294" s="7" t="s">
        <v>1677</v>
      </c>
      <c r="B294" s="12"/>
      <c r="C294" s="8" t="s">
        <v>40</v>
      </c>
      <c r="D294" s="8"/>
      <c r="E294" s="8"/>
      <c r="F294" s="8"/>
      <c r="G294" s="8" t="str">
        <f aca="true">IF(F294="","",ROUND((IF(H294="",TODAY(),H294)-F294)/7,1))</f>
        <v/>
      </c>
      <c r="H294" s="8"/>
      <c r="I294" s="8"/>
      <c r="J294" s="8"/>
      <c r="K294" s="13" t="str">
        <f aca="false">IFERROR(VLOOKUP(B294,colony!$A:$T,16,FALSE()),"")</f>
        <v/>
      </c>
    </row>
    <row r="295" customFormat="false" ht="15" hidden="false" customHeight="false" outlineLevel="0" collapsed="false">
      <c r="A295" s="7" t="s">
        <v>1678</v>
      </c>
      <c r="B295" s="12"/>
      <c r="C295" s="8" t="s">
        <v>40</v>
      </c>
      <c r="D295" s="8"/>
      <c r="E295" s="8"/>
      <c r="F295" s="8"/>
      <c r="G295" s="8" t="str">
        <f aca="true">IF(F295="","",ROUND((IF(H295="",TODAY(),H295)-F295)/7,1))</f>
        <v/>
      </c>
      <c r="H295" s="8"/>
      <c r="I295" s="8"/>
      <c r="J295" s="8"/>
      <c r="K295" s="13" t="str">
        <f aca="false">IFERROR(VLOOKUP(B295,colony!$A:$T,16,FALSE()),"")</f>
        <v/>
      </c>
    </row>
    <row r="296" customFormat="false" ht="15" hidden="false" customHeight="false" outlineLevel="0" collapsed="false">
      <c r="A296" s="7" t="s">
        <v>1679</v>
      </c>
      <c r="B296" s="12"/>
      <c r="C296" s="8" t="s">
        <v>40</v>
      </c>
      <c r="D296" s="8"/>
      <c r="E296" s="8"/>
      <c r="F296" s="8"/>
      <c r="G296" s="8" t="str">
        <f aca="true">IF(F296="","",ROUND((IF(H296="",TODAY(),H296)-F296)/7,1))</f>
        <v/>
      </c>
      <c r="H296" s="8"/>
      <c r="I296" s="8"/>
      <c r="J296" s="8"/>
      <c r="K296" s="13" t="str">
        <f aca="false">IFERROR(VLOOKUP(B296,colony!$A:$T,16,FALSE()),"")</f>
        <v/>
      </c>
    </row>
    <row r="297" customFormat="false" ht="15" hidden="false" customHeight="false" outlineLevel="0" collapsed="false">
      <c r="A297" s="7" t="s">
        <v>1680</v>
      </c>
      <c r="B297" s="12"/>
      <c r="C297" s="8" t="s">
        <v>40</v>
      </c>
      <c r="D297" s="8"/>
      <c r="E297" s="8"/>
      <c r="F297" s="8"/>
      <c r="G297" s="8" t="str">
        <f aca="true">IF(F297="","",ROUND((IF(H297="",TODAY(),H297)-F297)/7,1))</f>
        <v/>
      </c>
      <c r="H297" s="8"/>
      <c r="I297" s="8"/>
      <c r="J297" s="8"/>
      <c r="K297" s="13" t="str">
        <f aca="false">IFERROR(VLOOKUP(B297,colony!$A:$T,16,FALSE()),"")</f>
        <v/>
      </c>
    </row>
    <row r="298" customFormat="false" ht="15" hidden="false" customHeight="false" outlineLevel="0" collapsed="false">
      <c r="A298" s="7" t="s">
        <v>1681</v>
      </c>
      <c r="B298" s="12"/>
      <c r="C298" s="8" t="s">
        <v>40</v>
      </c>
      <c r="D298" s="8"/>
      <c r="E298" s="8"/>
      <c r="F298" s="8"/>
      <c r="G298" s="8" t="str">
        <f aca="true">IF(F298="","",ROUND((IF(H298="",TODAY(),H298)-F298)/7,1))</f>
        <v/>
      </c>
      <c r="H298" s="8"/>
      <c r="I298" s="8"/>
      <c r="J298" s="8"/>
      <c r="K298" s="13" t="str">
        <f aca="false">IFERROR(VLOOKUP(B298,colony!$A:$T,16,FALSE()),"")</f>
        <v/>
      </c>
    </row>
    <row r="299" customFormat="false" ht="15" hidden="false" customHeight="false" outlineLevel="0" collapsed="false">
      <c r="A299" s="7" t="s">
        <v>1682</v>
      </c>
      <c r="B299" s="12"/>
      <c r="C299" s="8" t="s">
        <v>40</v>
      </c>
      <c r="D299" s="8"/>
      <c r="E299" s="8"/>
      <c r="F299" s="8"/>
      <c r="G299" s="8" t="str">
        <f aca="true">IF(F299="","",ROUND((IF(H299="",TODAY(),H299)-F299)/7,1))</f>
        <v/>
      </c>
      <c r="H299" s="8"/>
      <c r="I299" s="8"/>
      <c r="J299" s="8"/>
      <c r="K299" s="13" t="str">
        <f aca="false">IFERROR(VLOOKUP(B299,colony!$A:$T,16,FALSE()),"")</f>
        <v/>
      </c>
    </row>
    <row r="300" customFormat="false" ht="15" hidden="false" customHeight="false" outlineLevel="0" collapsed="false">
      <c r="A300" s="7" t="s">
        <v>1683</v>
      </c>
      <c r="B300" s="12"/>
      <c r="C300" s="8" t="s">
        <v>40</v>
      </c>
      <c r="D300" s="8"/>
      <c r="E300" s="8"/>
      <c r="F300" s="8"/>
      <c r="G300" s="8" t="str">
        <f aca="true">IF(F300="","",ROUND((IF(H300="",TODAY(),H300)-F300)/7,1))</f>
        <v/>
      </c>
      <c r="H300" s="8"/>
      <c r="I300" s="8"/>
      <c r="J300" s="8"/>
      <c r="K300" s="13" t="str">
        <f aca="false">IFERROR(VLOOKUP(B300,colony!$A:$T,16,FALSE()),"")</f>
        <v/>
      </c>
    </row>
    <row r="301" customFormat="false" ht="15" hidden="false" customHeight="false" outlineLevel="0" collapsed="false">
      <c r="A301" s="7" t="s">
        <v>1684</v>
      </c>
      <c r="B301" s="12"/>
      <c r="C301" s="8" t="s">
        <v>40</v>
      </c>
      <c r="D301" s="8"/>
      <c r="E301" s="8"/>
      <c r="F301" s="8"/>
      <c r="G301" s="8" t="str">
        <f aca="true">IF(F301="","",ROUND((IF(H301="",TODAY(),H301)-F301)/7,1))</f>
        <v/>
      </c>
      <c r="H301" s="8"/>
      <c r="I301" s="8"/>
      <c r="J301" s="8"/>
      <c r="K301" s="13" t="str">
        <f aca="false">IFERROR(VLOOKUP(B301,colony!$A:$T,16,FALSE()),"")</f>
        <v/>
      </c>
    </row>
    <row r="302" customFormat="false" ht="15" hidden="false" customHeight="false" outlineLevel="0" collapsed="false">
      <c r="A302" s="7" t="s">
        <v>1685</v>
      </c>
      <c r="B302" s="12"/>
      <c r="C302" s="8" t="s">
        <v>54</v>
      </c>
      <c r="D302" s="8" t="s">
        <v>33</v>
      </c>
      <c r="E302" s="8" t="s">
        <v>104</v>
      </c>
      <c r="F302" s="9" t="n">
        <v>45901</v>
      </c>
      <c r="G302" s="8" t="n">
        <f aca="true">IF(F302="","",ROUND((IF(H302="",TODAY(),H302)-F302)/7,1))</f>
        <v>23.1</v>
      </c>
      <c r="H302" s="9" t="n">
        <v>46063</v>
      </c>
      <c r="I302" s="8" t="s">
        <v>45</v>
      </c>
      <c r="J302" s="8" t="s">
        <v>1686</v>
      </c>
      <c r="K302" s="13" t="str">
        <f aca="false">IFERROR(VLOOKUP(B302,colony!$A:$T,16,FALSE()),"")</f>
        <v/>
      </c>
    </row>
    <row r="303" customFormat="false" ht="15" hidden="false" customHeight="false" outlineLevel="0" collapsed="false">
      <c r="A303" s="7" t="s">
        <v>1687</v>
      </c>
      <c r="B303" s="12"/>
      <c r="C303" s="8" t="s">
        <v>54</v>
      </c>
      <c r="D303" s="8" t="s">
        <v>33</v>
      </c>
      <c r="E303" s="8" t="s">
        <v>104</v>
      </c>
      <c r="F303" s="9" t="n">
        <v>46016</v>
      </c>
      <c r="G303" s="8" t="n">
        <f aca="true">IF(F303="","",ROUND((IF(H303="",TODAY(),H303)-F303)/7,1))</f>
        <v>7.6</v>
      </c>
      <c r="H303" s="9" t="n">
        <v>46069</v>
      </c>
      <c r="I303" s="8" t="s">
        <v>45</v>
      </c>
      <c r="J303" s="8" t="s">
        <v>1688</v>
      </c>
      <c r="K303" s="13" t="str">
        <f aca="false">IFERROR(VLOOKUP(B303,colony!$A:$T,16,FALSE()),"")</f>
        <v/>
      </c>
    </row>
    <row r="304" customFormat="false" ht="15" hidden="false" customHeight="false" outlineLevel="0" collapsed="false">
      <c r="A304" s="7" t="s">
        <v>1689</v>
      </c>
      <c r="B304" s="12"/>
      <c r="C304" s="8" t="s">
        <v>54</v>
      </c>
      <c r="D304" s="8" t="s">
        <v>33</v>
      </c>
      <c r="E304" s="8" t="s">
        <v>104</v>
      </c>
      <c r="F304" s="9" t="n">
        <v>46016</v>
      </c>
      <c r="G304" s="8" t="n">
        <f aca="true">IF(F304="","",ROUND((IF(H304="",TODAY(),H304)-F304)/7,1))</f>
        <v>14.1</v>
      </c>
      <c r="H304" s="9" t="n">
        <v>46115</v>
      </c>
      <c r="I304" s="8" t="s">
        <v>45</v>
      </c>
      <c r="J304" s="8" t="s">
        <v>1690</v>
      </c>
      <c r="K304" s="13" t="str">
        <f aca="false">IFERROR(VLOOKUP(B304,colony!$A:$T,16,FALSE()),"")</f>
        <v/>
      </c>
    </row>
    <row r="305" customFormat="false" ht="15" hidden="false" customHeight="false" outlineLevel="0" collapsed="false">
      <c r="A305" s="7" t="s">
        <v>1691</v>
      </c>
      <c r="B305" s="12"/>
      <c r="C305" s="8" t="s">
        <v>54</v>
      </c>
      <c r="D305" s="8" t="s">
        <v>33</v>
      </c>
      <c r="E305" s="8" t="s">
        <v>104</v>
      </c>
      <c r="F305" s="9" t="n">
        <v>46016</v>
      </c>
      <c r="G305" s="8" t="n">
        <f aca="true">IF(F305="","",ROUND((IF(H305="",TODAY(),H305)-F305)/7,1))</f>
        <v>14.7</v>
      </c>
      <c r="H305" s="9" t="n">
        <v>46119</v>
      </c>
      <c r="I305" s="8"/>
      <c r="J305" s="8" t="s">
        <v>1692</v>
      </c>
      <c r="K305" s="13" t="str">
        <f aca="false">IFERROR(VLOOKUP(B305,colony!$A:$T,16,FALSE()),"")</f>
        <v/>
      </c>
    </row>
    <row r="306" customFormat="false" ht="15" hidden="false" customHeight="false" outlineLevel="0" collapsed="false">
      <c r="A306" s="7" t="s">
        <v>1693</v>
      </c>
      <c r="B306" s="12"/>
      <c r="C306" s="8" t="s">
        <v>54</v>
      </c>
      <c r="D306" s="8" t="s">
        <v>33</v>
      </c>
      <c r="E306" s="8" t="s">
        <v>104</v>
      </c>
      <c r="F306" s="9" t="n">
        <v>46016</v>
      </c>
      <c r="G306" s="8" t="n">
        <f aca="true">IF(F306="","",ROUND((IF(H306="",TODAY(),H306)-F306)/7,1))</f>
        <v>14.7</v>
      </c>
      <c r="H306" s="9" t="n">
        <v>46119</v>
      </c>
      <c r="I306" s="8"/>
      <c r="J306" s="8" t="s">
        <v>1694</v>
      </c>
      <c r="K306" s="13" t="str">
        <f aca="false">IFERROR(VLOOKUP(B306,colony!$A:$T,16,FALSE()),"")</f>
        <v/>
      </c>
    </row>
    <row r="307" customFormat="false" ht="15" hidden="false" customHeight="false" outlineLevel="0" collapsed="false">
      <c r="A307" s="7" t="s">
        <v>1695</v>
      </c>
      <c r="B307" s="12"/>
      <c r="C307" s="8" t="s">
        <v>54</v>
      </c>
      <c r="D307" s="8" t="s">
        <v>33</v>
      </c>
      <c r="E307" s="8" t="s">
        <v>104</v>
      </c>
      <c r="F307" s="9" t="n">
        <v>46016</v>
      </c>
      <c r="G307" s="8" t="n">
        <f aca="true">IF(F307="","",ROUND((IF(H307="",TODAY(),H307)-F307)/7,1))</f>
        <v>14.7</v>
      </c>
      <c r="H307" s="9" t="n">
        <v>46119</v>
      </c>
      <c r="I307" s="8"/>
      <c r="J307" s="8" t="s">
        <v>1696</v>
      </c>
      <c r="K307" s="13" t="str">
        <f aca="false">IFERROR(VLOOKUP(B307,colony!$A:$T,16,FALSE()),"")</f>
        <v/>
      </c>
    </row>
    <row r="308" customFormat="false" ht="17.15" hidden="false" customHeight="false" outlineLevel="0" collapsed="false">
      <c r="A308" s="7" t="s">
        <v>1697</v>
      </c>
      <c r="B308" s="12"/>
      <c r="C308" s="8" t="s">
        <v>54</v>
      </c>
      <c r="D308" s="8" t="s">
        <v>33</v>
      </c>
      <c r="E308" s="8" t="s">
        <v>104</v>
      </c>
      <c r="F308" s="9" t="n">
        <v>46022</v>
      </c>
      <c r="G308" s="8" t="n">
        <f aca="true">IF(F308="","",ROUND((IF(H308="",TODAY(),H308)-F308)/7,1))</f>
        <v>15</v>
      </c>
      <c r="H308" s="9" t="n">
        <v>46127</v>
      </c>
      <c r="I308" s="8"/>
      <c r="J308" s="8" t="s">
        <v>1698</v>
      </c>
      <c r="K308" s="13" t="str">
        <f aca="false">IFERROR(VLOOKUP(B308,colony!$A:$T,16,FALSE()),"")</f>
        <v/>
      </c>
    </row>
    <row r="309" customFormat="false" ht="15" hidden="false" customHeight="false" outlineLevel="0" collapsed="false">
      <c r="A309" s="7" t="s">
        <v>1699</v>
      </c>
      <c r="B309" s="12"/>
      <c r="C309" s="8" t="s">
        <v>54</v>
      </c>
      <c r="D309" s="8" t="s">
        <v>33</v>
      </c>
      <c r="E309" s="8" t="s">
        <v>108</v>
      </c>
      <c r="F309" s="9" t="n">
        <v>45907</v>
      </c>
      <c r="G309" s="8" t="n">
        <f aca="true">IF(F309="","",ROUND((IF(H309="",TODAY(),H309)-F309)/7,1))</f>
        <v>33.4</v>
      </c>
      <c r="H309" s="9" t="n">
        <v>46141</v>
      </c>
      <c r="I309" s="8"/>
      <c r="J309" s="8" t="s">
        <v>1700</v>
      </c>
      <c r="K309" s="13" t="str">
        <f aca="false">IFERROR(VLOOKUP(B309,colony!$A:$T,16,FALSE()),"")</f>
        <v/>
      </c>
    </row>
    <row r="310" customFormat="false" ht="17.15" hidden="false" customHeight="false" outlineLevel="0" collapsed="false">
      <c r="A310" s="7" t="s">
        <v>1701</v>
      </c>
      <c r="B310" s="12"/>
      <c r="C310" s="8" t="s">
        <v>54</v>
      </c>
      <c r="D310" s="8" t="s">
        <v>33</v>
      </c>
      <c r="E310" s="8" t="s">
        <v>108</v>
      </c>
      <c r="F310" s="9" t="n">
        <v>45907</v>
      </c>
      <c r="G310" s="8" t="n">
        <f aca="true">IF(F310="","",ROUND((IF(H310="",TODAY(),H310)-F310)/7,1))</f>
        <v>40</v>
      </c>
      <c r="H310" s="8"/>
      <c r="I310" s="8"/>
      <c r="J310" s="8" t="s">
        <v>1702</v>
      </c>
      <c r="K310" s="13" t="str">
        <f aca="false">IFERROR(VLOOKUP(B310,colony!$A:$T,16,FALSE()),"")</f>
        <v/>
      </c>
    </row>
    <row r="311" customFormat="false" ht="15" hidden="false" customHeight="false" outlineLevel="0" collapsed="false">
      <c r="A311" s="7" t="s">
        <v>1703</v>
      </c>
      <c r="B311" s="12"/>
      <c r="C311" s="8" t="s">
        <v>54</v>
      </c>
      <c r="D311" s="8" t="s">
        <v>46</v>
      </c>
      <c r="E311" s="8" t="s">
        <v>108</v>
      </c>
      <c r="F311" s="9" t="n">
        <v>45907</v>
      </c>
      <c r="G311" s="8" t="n">
        <f aca="true">IF(F311="","",ROUND((IF(H311="",TODAY(),H311)-F311)/7,1))</f>
        <v>30.1</v>
      </c>
      <c r="H311" s="9" t="n">
        <v>46118</v>
      </c>
      <c r="I311" s="8"/>
      <c r="J311" s="8" t="s">
        <v>1704</v>
      </c>
      <c r="K311" s="13" t="str">
        <f aca="false">IFERROR(VLOOKUP(B311,colony!$A:$T,16,FALSE()),"")</f>
        <v/>
      </c>
    </row>
    <row r="312" customFormat="false" ht="15" hidden="false" customHeight="false" outlineLevel="0" collapsed="false">
      <c r="A312" s="7" t="s">
        <v>1705</v>
      </c>
      <c r="B312" s="12"/>
      <c r="C312" s="8" t="s">
        <v>54</v>
      </c>
      <c r="D312" s="8" t="s">
        <v>33</v>
      </c>
      <c r="E312" s="8" t="s">
        <v>104</v>
      </c>
      <c r="F312" s="9" t="n">
        <v>46065</v>
      </c>
      <c r="G312" s="8" t="n">
        <f aca="true">IF(F312="","",ROUND((IF(H312="",TODAY(),H312)-F312)/7,1))</f>
        <v>7.7</v>
      </c>
      <c r="H312" s="9" t="n">
        <v>46119</v>
      </c>
      <c r="I312" s="8" t="s">
        <v>81</v>
      </c>
      <c r="J312" s="8" t="s">
        <v>1706</v>
      </c>
      <c r="K312" s="13" t="str">
        <f aca="false">IFERROR(VLOOKUP(B312,colony!$A:$T,16,FALSE()),"")</f>
        <v/>
      </c>
    </row>
    <row r="313" customFormat="false" ht="15" hidden="false" customHeight="false" outlineLevel="0" collapsed="false">
      <c r="A313" s="7" t="s">
        <v>1707</v>
      </c>
      <c r="B313" s="12"/>
      <c r="C313" s="8" t="s">
        <v>54</v>
      </c>
      <c r="D313" s="8" t="s">
        <v>33</v>
      </c>
      <c r="E313" s="8" t="s">
        <v>104</v>
      </c>
      <c r="F313" s="9" t="n">
        <v>46065</v>
      </c>
      <c r="G313" s="8" t="n">
        <f aca="true">IF(F313="","",ROUND((IF(H313="",TODAY(),H313)-F313)/7,1))</f>
        <v>17.4</v>
      </c>
      <c r="H313" s="8"/>
      <c r="I313" s="8"/>
      <c r="J313" s="8" t="s">
        <v>1708</v>
      </c>
      <c r="K313" s="13" t="str">
        <f aca="false">IFERROR(VLOOKUP(B313,colony!$A:$T,16,FALSE()),"")</f>
        <v/>
      </c>
    </row>
    <row r="314" customFormat="false" ht="15" hidden="false" customHeight="false" outlineLevel="0" collapsed="false">
      <c r="A314" s="7" t="s">
        <v>1709</v>
      </c>
      <c r="B314" s="12"/>
      <c r="C314" s="8" t="s">
        <v>54</v>
      </c>
      <c r="D314" s="8" t="s">
        <v>33</v>
      </c>
      <c r="E314" s="8" t="s">
        <v>104</v>
      </c>
      <c r="F314" s="9" t="n">
        <v>46086</v>
      </c>
      <c r="G314" s="8" t="n">
        <f aca="true">IF(F314="","",ROUND((IF(H314="",TODAY(),H314)-F314)/7,1))</f>
        <v>14.4</v>
      </c>
      <c r="H314" s="8"/>
      <c r="I314" s="8"/>
      <c r="J314" s="8" t="s">
        <v>1710</v>
      </c>
      <c r="K314" s="13" t="str">
        <f aca="false">IFERROR(VLOOKUP(B314,colony!$A:$T,16,FALSE()),"")</f>
        <v/>
      </c>
    </row>
    <row r="315" customFormat="false" ht="15" hidden="false" customHeight="false" outlineLevel="0" collapsed="false">
      <c r="A315" s="7" t="s">
        <v>1711</v>
      </c>
      <c r="B315" s="12"/>
      <c r="C315" s="8" t="s">
        <v>54</v>
      </c>
      <c r="D315" s="8" t="s">
        <v>33</v>
      </c>
      <c r="E315" s="8" t="s">
        <v>104</v>
      </c>
      <c r="F315" s="9" t="n">
        <v>46086</v>
      </c>
      <c r="G315" s="8" t="n">
        <f aca="true">IF(F315="","",ROUND((IF(H315="",TODAY(),H315)-F315)/7,1))</f>
        <v>9.6</v>
      </c>
      <c r="H315" s="9" t="n">
        <v>46153</v>
      </c>
      <c r="I315" s="8" t="s">
        <v>81</v>
      </c>
      <c r="J315" s="8" t="s">
        <v>1712</v>
      </c>
      <c r="K315" s="13" t="str">
        <f aca="false">IFERROR(VLOOKUP(B315,colony!$A:$T,16,FALSE()),"")</f>
        <v/>
      </c>
    </row>
    <row r="316" customFormat="false" ht="15" hidden="false" customHeight="false" outlineLevel="0" collapsed="false">
      <c r="A316" s="7" t="s">
        <v>1713</v>
      </c>
      <c r="B316" s="12"/>
      <c r="C316" s="8" t="s">
        <v>54</v>
      </c>
      <c r="D316" s="8" t="s">
        <v>33</v>
      </c>
      <c r="E316" s="8" t="s">
        <v>114</v>
      </c>
      <c r="F316" s="9" t="n">
        <v>46008</v>
      </c>
      <c r="G316" s="8" t="n">
        <f aca="true">IF(F316="","",ROUND((IF(H316="",TODAY(),H316)-F316)/7,1))</f>
        <v>18.3</v>
      </c>
      <c r="H316" s="9" t="n">
        <v>46136</v>
      </c>
      <c r="I316" s="8"/>
      <c r="J316" s="8" t="s">
        <v>1714</v>
      </c>
      <c r="K316" s="13" t="str">
        <f aca="false">IFERROR(VLOOKUP(B316,colony!$A:$T,16,FALSE()),"")</f>
        <v/>
      </c>
    </row>
    <row r="317" customFormat="false" ht="15" hidden="false" customHeight="false" outlineLevel="0" collapsed="false">
      <c r="A317" s="7" t="s">
        <v>1715</v>
      </c>
      <c r="B317" s="12"/>
      <c r="C317" s="8" t="s">
        <v>54</v>
      </c>
      <c r="D317" s="8" t="s">
        <v>33</v>
      </c>
      <c r="E317" s="8" t="s">
        <v>104</v>
      </c>
      <c r="F317" s="9" t="n">
        <v>46086</v>
      </c>
      <c r="G317" s="8" t="n">
        <f aca="true">IF(F317="","",ROUND((IF(H317="",TODAY(),H317)-F317)/7,1))</f>
        <v>11.6</v>
      </c>
      <c r="H317" s="9" t="n">
        <v>46167</v>
      </c>
      <c r="I317" s="8" t="s">
        <v>81</v>
      </c>
      <c r="J317" s="8" t="s">
        <v>1716</v>
      </c>
      <c r="K317" s="13" t="str">
        <f aca="false">IFERROR(VLOOKUP(B317,colony!$A:$T,16,FALSE()),"")</f>
        <v/>
      </c>
    </row>
    <row r="318" customFormat="false" ht="15" hidden="false" customHeight="false" outlineLevel="0" collapsed="false">
      <c r="A318" s="7" t="s">
        <v>1717</v>
      </c>
      <c r="B318" s="12"/>
      <c r="C318" s="8" t="s">
        <v>54</v>
      </c>
      <c r="D318" s="8" t="s">
        <v>33</v>
      </c>
      <c r="E318" s="8" t="s">
        <v>104</v>
      </c>
      <c r="F318" s="9" t="n">
        <v>46086</v>
      </c>
      <c r="G318" s="8" t="n">
        <f aca="true">IF(F318="","",ROUND((IF(H318="",TODAY(),H318)-F318)/7,1))</f>
        <v>11.6</v>
      </c>
      <c r="H318" s="9" t="n">
        <v>46167</v>
      </c>
      <c r="I318" s="8" t="s">
        <v>81</v>
      </c>
      <c r="J318" s="8" t="s">
        <v>1718</v>
      </c>
      <c r="K318" s="13" t="str">
        <f aca="false">IFERROR(VLOOKUP(B318,colony!$A:$T,16,FALSE()),"")</f>
        <v/>
      </c>
    </row>
    <row r="319" customFormat="false" ht="15" hidden="false" customHeight="false" outlineLevel="0" collapsed="false">
      <c r="A319" s="7" t="s">
        <v>1719</v>
      </c>
      <c r="B319" s="12"/>
      <c r="C319" s="8" t="s">
        <v>54</v>
      </c>
      <c r="D319" s="8" t="s">
        <v>33</v>
      </c>
      <c r="E319" s="8" t="s">
        <v>104</v>
      </c>
      <c r="F319" s="9" t="n">
        <v>46086</v>
      </c>
      <c r="G319" s="8" t="n">
        <f aca="true">IF(F319="","",ROUND((IF(H319="",TODAY(),H319)-F319)/7,1))</f>
        <v>7.7</v>
      </c>
      <c r="H319" s="9" t="n">
        <v>46140</v>
      </c>
      <c r="I319" s="8" t="s">
        <v>81</v>
      </c>
      <c r="J319" s="8" t="s">
        <v>1720</v>
      </c>
      <c r="K319" s="13" t="str">
        <f aca="false">IFERROR(VLOOKUP(B319,colony!$A:$T,16,FALSE()),"")</f>
        <v/>
      </c>
    </row>
    <row r="320" customFormat="false" ht="15" hidden="false" customHeight="false" outlineLevel="0" collapsed="false">
      <c r="A320" s="7" t="s">
        <v>1721</v>
      </c>
      <c r="B320" s="12"/>
      <c r="C320" s="8" t="s">
        <v>54</v>
      </c>
      <c r="D320" s="8" t="s">
        <v>33</v>
      </c>
      <c r="E320" s="8" t="s">
        <v>104</v>
      </c>
      <c r="F320" s="9" t="n">
        <v>46086</v>
      </c>
      <c r="G320" s="8" t="n">
        <f aca="true">IF(F320="","",ROUND((IF(H320="",TODAY(),H320)-F320)/7,1))</f>
        <v>7.7</v>
      </c>
      <c r="H320" s="9" t="n">
        <v>46140</v>
      </c>
      <c r="I320" s="8" t="s">
        <v>81</v>
      </c>
      <c r="J320" s="8" t="s">
        <v>1722</v>
      </c>
      <c r="K320" s="13" t="str">
        <f aca="false">IFERROR(VLOOKUP(B320,colony!$A:$T,16,FALSE()),"")</f>
        <v/>
      </c>
    </row>
    <row r="321" customFormat="false" ht="15" hidden="false" customHeight="false" outlineLevel="0" collapsed="false">
      <c r="A321" s="7" t="s">
        <v>1723</v>
      </c>
      <c r="B321" s="12"/>
      <c r="C321" s="8" t="s">
        <v>54</v>
      </c>
      <c r="D321" s="8" t="s">
        <v>33</v>
      </c>
      <c r="E321" s="8" t="s">
        <v>119</v>
      </c>
      <c r="F321" s="9" t="n">
        <v>46081</v>
      </c>
      <c r="G321" s="8" t="n">
        <f aca="true">IF(F321="","",ROUND((IF(H321="",TODAY(),H321)-F321)/7,1))</f>
        <v>10.3</v>
      </c>
      <c r="H321" s="9" t="n">
        <v>46153</v>
      </c>
      <c r="I321" s="8"/>
      <c r="J321" s="8" t="s">
        <v>1724</v>
      </c>
      <c r="K321" s="13" t="str">
        <f aca="false">IFERROR(VLOOKUP(B321,colony!$A:$T,16,FALSE()),"")</f>
        <v/>
      </c>
    </row>
    <row r="322" customFormat="false" ht="17.15" hidden="false" customHeight="false" outlineLevel="0" collapsed="false">
      <c r="A322" s="7" t="s">
        <v>1725</v>
      </c>
      <c r="B322" s="12"/>
      <c r="C322" s="8" t="s">
        <v>54</v>
      </c>
      <c r="D322" s="8" t="s">
        <v>33</v>
      </c>
      <c r="E322" s="8" t="s">
        <v>114</v>
      </c>
      <c r="F322" s="9" t="n">
        <v>46067</v>
      </c>
      <c r="G322" s="8" t="n">
        <f aca="true">IF(F322="","",ROUND((IF(H322="",TODAY(),H322)-F322)/7,1))</f>
        <v>17.1</v>
      </c>
      <c r="H322" s="8"/>
      <c r="I322" s="8"/>
      <c r="J322" s="8" t="s">
        <v>1726</v>
      </c>
      <c r="K322" s="13" t="str">
        <f aca="false">IFERROR(VLOOKUP(B322,colony!$A:$T,16,FALSE()),"")</f>
        <v/>
      </c>
    </row>
    <row r="323" customFormat="false" ht="15" hidden="false" customHeight="false" outlineLevel="0" collapsed="false">
      <c r="A323" s="7" t="s">
        <v>1727</v>
      </c>
      <c r="B323" s="12"/>
      <c r="C323" s="8" t="s">
        <v>54</v>
      </c>
      <c r="D323" s="8" t="s">
        <v>33</v>
      </c>
      <c r="E323" s="8" t="s">
        <v>119</v>
      </c>
      <c r="F323" s="9" t="n">
        <v>46091</v>
      </c>
      <c r="G323" s="8" t="n">
        <f aca="true">IF(F323="","",ROUND((IF(H323="",TODAY(),H323)-F323)/7,1))</f>
        <v>13.7</v>
      </c>
      <c r="H323" s="8"/>
      <c r="I323" s="8"/>
      <c r="J323" s="8" t="s">
        <v>1728</v>
      </c>
      <c r="K323" s="13" t="str">
        <f aca="false">IFERROR(VLOOKUP(B323,colony!$A:$T,16,FALSE()),"")</f>
        <v/>
      </c>
    </row>
    <row r="324" customFormat="false" ht="15" hidden="false" customHeight="false" outlineLevel="0" collapsed="false">
      <c r="A324" s="7" t="s">
        <v>1729</v>
      </c>
      <c r="B324" s="12"/>
      <c r="C324" s="8" t="s">
        <v>54</v>
      </c>
      <c r="D324" s="8" t="s">
        <v>33</v>
      </c>
      <c r="E324" s="8" t="s">
        <v>114</v>
      </c>
      <c r="F324" s="9" t="n">
        <v>46067</v>
      </c>
      <c r="G324" s="8" t="n">
        <f aca="true">IF(F324="","",ROUND((IF(H324="",TODAY(),H324)-F324)/7,1))</f>
        <v>17.1</v>
      </c>
      <c r="H324" s="8"/>
      <c r="I324" s="8"/>
      <c r="J324" s="8" t="s">
        <v>1730</v>
      </c>
      <c r="K324" s="13" t="str">
        <f aca="false">IFERROR(VLOOKUP(B324,colony!$A:$T,16,FALSE()),"")</f>
        <v/>
      </c>
    </row>
    <row r="325" customFormat="false" ht="15" hidden="false" customHeight="false" outlineLevel="0" collapsed="false">
      <c r="A325" s="7" t="s">
        <v>1731</v>
      </c>
      <c r="B325" s="12"/>
      <c r="C325" s="8" t="s">
        <v>54</v>
      </c>
      <c r="D325" s="8" t="s">
        <v>46</v>
      </c>
      <c r="E325" s="8" t="s">
        <v>114</v>
      </c>
      <c r="F325" s="9" t="n">
        <v>46008</v>
      </c>
      <c r="G325" s="8" t="n">
        <f aca="true">IF(F325="","",ROUND((IF(H325="",TODAY(),H325)-F325)/7,1))</f>
        <v>25.6</v>
      </c>
      <c r="H325" s="8"/>
      <c r="I325" s="8"/>
      <c r="J325" s="8" t="s">
        <v>1732</v>
      </c>
      <c r="K325" s="13" t="str">
        <f aca="false">IFERROR(VLOOKUP(B325,colony!$A:$T,16,FALSE()),"")</f>
        <v/>
      </c>
    </row>
    <row r="326" customFormat="false" ht="15" hidden="false" customHeight="false" outlineLevel="0" collapsed="false">
      <c r="A326" s="7" t="s">
        <v>1733</v>
      </c>
      <c r="B326" s="12"/>
      <c r="C326" s="8" t="s">
        <v>54</v>
      </c>
      <c r="D326" s="8" t="s">
        <v>33</v>
      </c>
      <c r="E326" s="8" t="s">
        <v>104</v>
      </c>
      <c r="F326" s="9" t="n">
        <v>46086</v>
      </c>
      <c r="G326" s="8" t="n">
        <f aca="true">IF(F326="","",ROUND((IF(H326="",TODAY(),H326)-F326)/7,1))</f>
        <v>14.4</v>
      </c>
      <c r="H326" s="8"/>
      <c r="I326" s="8"/>
      <c r="J326" s="8" t="s">
        <v>1734</v>
      </c>
      <c r="K326" s="13" t="str">
        <f aca="false">IFERROR(VLOOKUP(B326,colony!$A:$T,16,FALSE()),"")</f>
        <v/>
      </c>
    </row>
    <row r="327" customFormat="false" ht="17.15" hidden="false" customHeight="false" outlineLevel="0" collapsed="false">
      <c r="A327" s="7" t="s">
        <v>1735</v>
      </c>
      <c r="B327" s="12"/>
      <c r="C327" s="8" t="s">
        <v>54</v>
      </c>
      <c r="D327" s="8" t="s">
        <v>33</v>
      </c>
      <c r="E327" s="8" t="s">
        <v>119</v>
      </c>
      <c r="F327" s="9" t="n">
        <v>46091</v>
      </c>
      <c r="G327" s="8" t="n">
        <f aca="true">IF(F327="","",ROUND((IF(H327="",TODAY(),H327)-F327)/7,1))</f>
        <v>13.7</v>
      </c>
      <c r="H327" s="8"/>
      <c r="I327" s="8"/>
      <c r="J327" s="8" t="s">
        <v>1736</v>
      </c>
      <c r="K327" s="13" t="str">
        <f aca="false">IFERROR(VLOOKUP(B327,colony!$A:$T,16,FALSE()),"")</f>
        <v/>
      </c>
    </row>
    <row r="328" customFormat="false" ht="15" hidden="false" customHeight="false" outlineLevel="0" collapsed="false">
      <c r="A328" s="7" t="s">
        <v>1737</v>
      </c>
      <c r="B328" s="12"/>
      <c r="C328" s="8" t="s">
        <v>54</v>
      </c>
      <c r="D328" s="8" t="s">
        <v>33</v>
      </c>
      <c r="E328" s="8" t="s">
        <v>104</v>
      </c>
      <c r="F328" s="9" t="n">
        <v>46086</v>
      </c>
      <c r="G328" s="8" t="n">
        <f aca="true">IF(F328="","",ROUND((IF(H328="",TODAY(),H328)-F328)/7,1))</f>
        <v>14.4</v>
      </c>
      <c r="H328" s="8"/>
      <c r="I328" s="8"/>
      <c r="J328" s="8" t="s">
        <v>1738</v>
      </c>
      <c r="K328" s="13" t="str">
        <f aca="false">IFERROR(VLOOKUP(B328,colony!$A:$T,16,FALSE()),"")</f>
        <v/>
      </c>
    </row>
    <row r="329" customFormat="false" ht="15" hidden="false" customHeight="false" outlineLevel="0" collapsed="false">
      <c r="A329" s="7" t="s">
        <v>1739</v>
      </c>
      <c r="B329" s="12"/>
      <c r="C329" s="8" t="s">
        <v>54</v>
      </c>
      <c r="D329" s="8" t="s">
        <v>33</v>
      </c>
      <c r="E329" s="8" t="s">
        <v>108</v>
      </c>
      <c r="F329" s="9" t="n">
        <v>46051</v>
      </c>
      <c r="G329" s="8" t="n">
        <f aca="true">IF(F329="","",ROUND((IF(H329="",TODAY(),H329)-F329)/7,1))</f>
        <v>19.4</v>
      </c>
      <c r="H329" s="8"/>
      <c r="I329" s="8"/>
      <c r="J329" s="8" t="s">
        <v>1740</v>
      </c>
      <c r="K329" s="13" t="str">
        <f aca="false">IFERROR(VLOOKUP(B329,colony!$A:$T,16,FALSE()),"")</f>
        <v/>
      </c>
    </row>
    <row r="330" customFormat="false" ht="15" hidden="false" customHeight="false" outlineLevel="0" collapsed="false">
      <c r="A330" s="7" t="s">
        <v>1741</v>
      </c>
      <c r="B330" s="12"/>
      <c r="C330" s="8" t="s">
        <v>54</v>
      </c>
      <c r="D330" s="8" t="s">
        <v>33</v>
      </c>
      <c r="E330" s="8" t="s">
        <v>108</v>
      </c>
      <c r="F330" s="9" t="n">
        <v>46051</v>
      </c>
      <c r="G330" s="8" t="n">
        <f aca="true">IF(F330="","",ROUND((IF(H330="",TODAY(),H330)-F330)/7,1))</f>
        <v>19.4</v>
      </c>
      <c r="H330" s="8"/>
      <c r="I330" s="8"/>
      <c r="J330" s="8" t="s">
        <v>1742</v>
      </c>
      <c r="K330" s="13" t="str">
        <f aca="false">IFERROR(VLOOKUP(B330,colony!$A:$T,16,FALSE()),"")</f>
        <v/>
      </c>
    </row>
    <row r="331" customFormat="false" ht="15" hidden="false" customHeight="false" outlineLevel="0" collapsed="false">
      <c r="A331" s="7" t="s">
        <v>1743</v>
      </c>
      <c r="B331" s="12"/>
      <c r="C331" s="8" t="s">
        <v>54</v>
      </c>
      <c r="D331" s="8" t="s">
        <v>33</v>
      </c>
      <c r="E331" s="8" t="s">
        <v>108</v>
      </c>
      <c r="F331" s="9" t="n">
        <v>46051</v>
      </c>
      <c r="G331" s="8" t="n">
        <f aca="true">IF(F331="","",ROUND((IF(H331="",TODAY(),H331)-F331)/7,1))</f>
        <v>19.4</v>
      </c>
      <c r="H331" s="8"/>
      <c r="I331" s="8"/>
      <c r="J331" s="8" t="s">
        <v>1744</v>
      </c>
      <c r="K331" s="13" t="str">
        <f aca="false">IFERROR(VLOOKUP(B331,colony!$A:$T,16,FALSE()),"")</f>
        <v/>
      </c>
    </row>
    <row r="332" customFormat="false" ht="17.15" hidden="false" customHeight="false" outlineLevel="0" collapsed="false">
      <c r="A332" s="7" t="s">
        <v>1745</v>
      </c>
      <c r="B332" s="12"/>
      <c r="C332" s="8" t="s">
        <v>54</v>
      </c>
      <c r="D332" s="8" t="s">
        <v>46</v>
      </c>
      <c r="E332" s="8" t="s">
        <v>114</v>
      </c>
      <c r="F332" s="9" t="n">
        <v>46067</v>
      </c>
      <c r="G332" s="8" t="n">
        <f aca="true">IF(F332="","",ROUND((IF(H332="",TODAY(),H332)-F332)/7,1))</f>
        <v>16.3</v>
      </c>
      <c r="H332" s="9" t="n">
        <v>46181</v>
      </c>
      <c r="I332" s="8"/>
      <c r="J332" s="8" t="s">
        <v>1746</v>
      </c>
      <c r="K332" s="13" t="str">
        <f aca="false">IFERROR(VLOOKUP(B332,colony!$A:$T,16,FALSE()),"")</f>
        <v/>
      </c>
    </row>
    <row r="333" customFormat="false" ht="15" hidden="false" customHeight="false" outlineLevel="0" collapsed="false">
      <c r="A333" s="7" t="s">
        <v>1747</v>
      </c>
      <c r="B333" s="12"/>
      <c r="C333" s="8" t="s">
        <v>54</v>
      </c>
      <c r="D333" s="8" t="s">
        <v>46</v>
      </c>
      <c r="E333" s="8" t="s">
        <v>114</v>
      </c>
      <c r="F333" s="9" t="n">
        <v>46008</v>
      </c>
      <c r="G333" s="8" t="n">
        <f aca="true">IF(F333="","",ROUND((IF(H333="",TODAY(),H333)-F333)/7,1))</f>
        <v>25.6</v>
      </c>
      <c r="H333" s="8"/>
      <c r="I333" s="8"/>
      <c r="J333" s="8" t="s">
        <v>1748</v>
      </c>
      <c r="K333" s="13" t="str">
        <f aca="false">IFERROR(VLOOKUP(B333,colony!$A:$T,16,FALSE()),"")</f>
        <v/>
      </c>
    </row>
    <row r="334" customFormat="false" ht="15" hidden="false" customHeight="false" outlineLevel="0" collapsed="false">
      <c r="A334" s="7" t="s">
        <v>1749</v>
      </c>
      <c r="B334" s="12"/>
      <c r="C334" s="8" t="s">
        <v>54</v>
      </c>
      <c r="D334" s="8" t="s">
        <v>46</v>
      </c>
      <c r="E334" s="8" t="s">
        <v>114</v>
      </c>
      <c r="F334" s="9" t="n">
        <v>46008</v>
      </c>
      <c r="G334" s="8" t="n">
        <f aca="true">IF(F334="","",ROUND((IF(H334="",TODAY(),H334)-F334)/7,1))</f>
        <v>25.6</v>
      </c>
      <c r="H334" s="8"/>
      <c r="I334" s="8"/>
      <c r="J334" s="8" t="s">
        <v>1750</v>
      </c>
      <c r="K334" s="13" t="str">
        <f aca="false">IFERROR(VLOOKUP(B334,colony!$A:$T,16,FALSE()),"")</f>
        <v/>
      </c>
    </row>
    <row r="335" customFormat="false" ht="17.15" hidden="false" customHeight="false" outlineLevel="0" collapsed="false">
      <c r="A335" s="7" t="s">
        <v>1751</v>
      </c>
      <c r="B335" s="12"/>
      <c r="C335" s="8" t="s">
        <v>54</v>
      </c>
      <c r="D335" s="8" t="s">
        <v>33</v>
      </c>
      <c r="E335" s="8" t="s">
        <v>104</v>
      </c>
      <c r="F335" s="9" t="n">
        <v>46127</v>
      </c>
      <c r="G335" s="8" t="n">
        <f aca="true">IF(F335="","",ROUND((IF(H335="",TODAY(),H335)-F335)/7,1))</f>
        <v>8.6</v>
      </c>
      <c r="H335" s="8"/>
      <c r="I335" s="8"/>
      <c r="J335" s="8" t="s">
        <v>1752</v>
      </c>
      <c r="K335" s="13" t="str">
        <f aca="false">IFERROR(VLOOKUP(B335,colony!$A:$T,16,FALSE()),"")</f>
        <v/>
      </c>
    </row>
    <row r="336" customFormat="false" ht="17.15" hidden="false" customHeight="false" outlineLevel="0" collapsed="false">
      <c r="A336" s="7" t="s">
        <v>1753</v>
      </c>
      <c r="B336" s="12"/>
      <c r="C336" s="8" t="s">
        <v>54</v>
      </c>
      <c r="D336" s="8" t="s">
        <v>33</v>
      </c>
      <c r="E336" s="8" t="s">
        <v>104</v>
      </c>
      <c r="F336" s="9" t="n">
        <v>46127</v>
      </c>
      <c r="G336" s="8" t="n">
        <f aca="true">IF(F336="","",ROUND((IF(H336="",TODAY(),H336)-F336)/7,1))</f>
        <v>8.1</v>
      </c>
      <c r="H336" s="9" t="n">
        <v>46184</v>
      </c>
      <c r="I336" s="8"/>
      <c r="J336" s="8" t="s">
        <v>1754</v>
      </c>
      <c r="K336" s="13" t="str">
        <f aca="false">IFERROR(VLOOKUP(B336,colony!$A:$T,16,FALSE()),"")</f>
        <v/>
      </c>
    </row>
    <row r="337" customFormat="false" ht="15" hidden="false" customHeight="false" outlineLevel="0" collapsed="false">
      <c r="A337" s="7" t="s">
        <v>1755</v>
      </c>
      <c r="B337" s="12"/>
      <c r="C337" s="8" t="s">
        <v>54</v>
      </c>
      <c r="D337" s="8" t="s">
        <v>33</v>
      </c>
      <c r="E337" s="8" t="s">
        <v>104</v>
      </c>
      <c r="F337" s="9" t="n">
        <v>46127</v>
      </c>
      <c r="G337" s="8" t="n">
        <f aca="true">IF(F337="","",ROUND((IF(H337="",TODAY(),H337)-F337)/7,1))</f>
        <v>8.6</v>
      </c>
      <c r="H337" s="8"/>
      <c r="I337" s="8"/>
      <c r="J337" s="8" t="s">
        <v>1756</v>
      </c>
      <c r="K337" s="13" t="str">
        <f aca="false">IFERROR(VLOOKUP(B337,colony!$A:$T,16,FALSE()),"")</f>
        <v/>
      </c>
    </row>
    <row r="338" customFormat="false" ht="15" hidden="false" customHeight="false" outlineLevel="0" collapsed="false">
      <c r="A338" s="7" t="s">
        <v>1757</v>
      </c>
      <c r="B338" s="12"/>
      <c r="C338" s="8" t="s">
        <v>54</v>
      </c>
      <c r="D338" s="8"/>
      <c r="E338" s="8"/>
      <c r="F338" s="8"/>
      <c r="G338" s="8" t="str">
        <f aca="true">IF(F338="","",ROUND((IF(H338="",TODAY(),H338)-F338)/7,1))</f>
        <v/>
      </c>
      <c r="H338" s="8"/>
      <c r="I338" s="8"/>
      <c r="J338" s="8"/>
      <c r="K338" s="13" t="str">
        <f aca="false">IFERROR(VLOOKUP(B338,colony!$A:$T,16,FALSE()),"")</f>
        <v/>
      </c>
    </row>
    <row r="339" customFormat="false" ht="15" hidden="false" customHeight="false" outlineLevel="0" collapsed="false">
      <c r="A339" s="7" t="s">
        <v>1758</v>
      </c>
      <c r="B339" s="12"/>
      <c r="C339" s="8" t="s">
        <v>54</v>
      </c>
      <c r="D339" s="8"/>
      <c r="E339" s="8"/>
      <c r="F339" s="8"/>
      <c r="G339" s="8" t="str">
        <f aca="true">IF(F339="","",ROUND((IF(H339="",TODAY(),H339)-F339)/7,1))</f>
        <v/>
      </c>
      <c r="H339" s="8"/>
      <c r="I339" s="8"/>
      <c r="J339" s="8"/>
      <c r="K339" s="13" t="str">
        <f aca="false">IFERROR(VLOOKUP(B339,colony!$A:$T,16,FALSE()),"")</f>
        <v/>
      </c>
    </row>
    <row r="340" customFormat="false" ht="15" hidden="false" customHeight="false" outlineLevel="0" collapsed="false">
      <c r="A340" s="7" t="s">
        <v>1759</v>
      </c>
      <c r="B340" s="12"/>
      <c r="C340" s="8" t="s">
        <v>54</v>
      </c>
      <c r="D340" s="8"/>
      <c r="E340" s="8"/>
      <c r="F340" s="8"/>
      <c r="G340" s="8" t="str">
        <f aca="true">IF(F340="","",ROUND((IF(H340="",TODAY(),H340)-F340)/7,1))</f>
        <v/>
      </c>
      <c r="H340" s="8"/>
      <c r="I340" s="8"/>
      <c r="J340" s="8"/>
      <c r="K340" s="13" t="str">
        <f aca="false">IFERROR(VLOOKUP(B340,colony!$A:$T,16,FALSE()),"")</f>
        <v/>
      </c>
    </row>
    <row r="341" customFormat="false" ht="15" hidden="false" customHeight="false" outlineLevel="0" collapsed="false">
      <c r="A341" s="7" t="s">
        <v>1760</v>
      </c>
      <c r="B341" s="12"/>
      <c r="C341" s="8" t="s">
        <v>54</v>
      </c>
      <c r="D341" s="8"/>
      <c r="E341" s="8"/>
      <c r="F341" s="8"/>
      <c r="G341" s="8" t="str">
        <f aca="true">IF(F341="","",ROUND((IF(H341="",TODAY(),H341)-F341)/7,1))</f>
        <v/>
      </c>
      <c r="H341" s="8"/>
      <c r="I341" s="8"/>
      <c r="J341" s="8"/>
      <c r="K341" s="13" t="str">
        <f aca="false">IFERROR(VLOOKUP(B341,colony!$A:$T,16,FALSE()),"")</f>
        <v/>
      </c>
    </row>
    <row r="342" customFormat="false" ht="15" hidden="false" customHeight="false" outlineLevel="0" collapsed="false">
      <c r="A342" s="7" t="s">
        <v>1761</v>
      </c>
      <c r="B342" s="12"/>
      <c r="C342" s="8" t="s">
        <v>54</v>
      </c>
      <c r="D342" s="8"/>
      <c r="E342" s="8"/>
      <c r="F342" s="8"/>
      <c r="G342" s="8" t="str">
        <f aca="true">IF(F342="","",ROUND((IF(H342="",TODAY(),H342)-F342)/7,1))</f>
        <v/>
      </c>
      <c r="H342" s="8"/>
      <c r="I342" s="8"/>
      <c r="J342" s="8"/>
      <c r="K342" s="13" t="str">
        <f aca="false">IFERROR(VLOOKUP(B342,colony!$A:$T,16,FALSE()),"")</f>
        <v/>
      </c>
    </row>
    <row r="343" customFormat="false" ht="15" hidden="false" customHeight="false" outlineLevel="0" collapsed="false">
      <c r="A343" s="7" t="s">
        <v>1762</v>
      </c>
      <c r="B343" s="12"/>
      <c r="C343" s="8" t="s">
        <v>54</v>
      </c>
      <c r="D343" s="8"/>
      <c r="E343" s="8"/>
      <c r="F343" s="8"/>
      <c r="G343" s="8" t="str">
        <f aca="true">IF(F343="","",ROUND((IF(H343="",TODAY(),H343)-F343)/7,1))</f>
        <v/>
      </c>
      <c r="H343" s="8"/>
      <c r="I343" s="8"/>
      <c r="J343" s="8"/>
      <c r="K343" s="13" t="str">
        <f aca="false">IFERROR(VLOOKUP(B343,colony!$A:$T,16,FALSE()),"")</f>
        <v/>
      </c>
    </row>
    <row r="344" customFormat="false" ht="15" hidden="false" customHeight="false" outlineLevel="0" collapsed="false">
      <c r="A344" s="7" t="s">
        <v>1763</v>
      </c>
      <c r="B344" s="12"/>
      <c r="C344" s="8" t="s">
        <v>54</v>
      </c>
      <c r="D344" s="8"/>
      <c r="E344" s="8"/>
      <c r="F344" s="8"/>
      <c r="G344" s="8" t="str">
        <f aca="true">IF(F344="","",ROUND((IF(H344="",TODAY(),H344)-F344)/7,1))</f>
        <v/>
      </c>
      <c r="H344" s="8"/>
      <c r="I344" s="8"/>
      <c r="J344" s="8"/>
      <c r="K344" s="13" t="str">
        <f aca="false">IFERROR(VLOOKUP(B344,colony!$A:$T,16,FALSE()),"")</f>
        <v/>
      </c>
    </row>
    <row r="345" customFormat="false" ht="15" hidden="false" customHeight="false" outlineLevel="0" collapsed="false">
      <c r="A345" s="7" t="s">
        <v>1764</v>
      </c>
      <c r="B345" s="12"/>
      <c r="C345" s="8" t="s">
        <v>54</v>
      </c>
      <c r="D345" s="8"/>
      <c r="E345" s="8"/>
      <c r="F345" s="8"/>
      <c r="G345" s="8" t="str">
        <f aca="true">IF(F345="","",ROUND((IF(H345="",TODAY(),H345)-F345)/7,1))</f>
        <v/>
      </c>
      <c r="H345" s="8"/>
      <c r="I345" s="8"/>
      <c r="J345" s="8"/>
      <c r="K345" s="13" t="str">
        <f aca="false">IFERROR(VLOOKUP(B345,colony!$A:$T,16,FALSE()),"")</f>
        <v/>
      </c>
    </row>
    <row r="346" customFormat="false" ht="15" hidden="false" customHeight="false" outlineLevel="0" collapsed="false">
      <c r="A346" s="7" t="s">
        <v>1765</v>
      </c>
      <c r="B346" s="12"/>
      <c r="C346" s="8" t="s">
        <v>54</v>
      </c>
      <c r="D346" s="8"/>
      <c r="E346" s="8"/>
      <c r="F346" s="8"/>
      <c r="G346" s="8" t="str">
        <f aca="true">IF(F346="","",ROUND((IF(H346="",TODAY(),H346)-F346)/7,1))</f>
        <v/>
      </c>
      <c r="H346" s="8"/>
      <c r="I346" s="8"/>
      <c r="J346" s="8"/>
      <c r="K346" s="13" t="str">
        <f aca="false">IFERROR(VLOOKUP(B346,colony!$A:$T,16,FALSE()),"")</f>
        <v/>
      </c>
    </row>
    <row r="347" customFormat="false" ht="15" hidden="false" customHeight="false" outlineLevel="0" collapsed="false">
      <c r="A347" s="7" t="s">
        <v>1766</v>
      </c>
      <c r="B347" s="12"/>
      <c r="C347" s="8" t="s">
        <v>54</v>
      </c>
      <c r="D347" s="8"/>
      <c r="E347" s="8"/>
      <c r="F347" s="8"/>
      <c r="G347" s="8" t="str">
        <f aca="true">IF(F347="","",ROUND((IF(H347="",TODAY(),H347)-F347)/7,1))</f>
        <v/>
      </c>
      <c r="H347" s="8"/>
      <c r="I347" s="8"/>
      <c r="J347" s="8"/>
      <c r="K347" s="13" t="str">
        <f aca="false">IFERROR(VLOOKUP(B347,colony!$A:$T,16,FALSE()),"")</f>
        <v/>
      </c>
    </row>
    <row r="348" customFormat="false" ht="15" hidden="false" customHeight="false" outlineLevel="0" collapsed="false">
      <c r="A348" s="7" t="s">
        <v>1767</v>
      </c>
      <c r="B348" s="12"/>
      <c r="C348" s="8" t="s">
        <v>54</v>
      </c>
      <c r="D348" s="8"/>
      <c r="E348" s="8"/>
      <c r="F348" s="8"/>
      <c r="G348" s="8" t="str">
        <f aca="true">IF(F348="","",ROUND((IF(H348="",TODAY(),H348)-F348)/7,1))</f>
        <v/>
      </c>
      <c r="H348" s="8"/>
      <c r="I348" s="8"/>
      <c r="J348" s="8"/>
      <c r="K348" s="13" t="str">
        <f aca="false">IFERROR(VLOOKUP(B348,colony!$A:$T,16,FALSE()),"")</f>
        <v/>
      </c>
    </row>
    <row r="349" customFormat="false" ht="15" hidden="false" customHeight="false" outlineLevel="0" collapsed="false">
      <c r="A349" s="7" t="s">
        <v>1768</v>
      </c>
      <c r="B349" s="12"/>
      <c r="C349" s="8" t="s">
        <v>54</v>
      </c>
      <c r="D349" s="8"/>
      <c r="E349" s="8"/>
      <c r="F349" s="8"/>
      <c r="G349" s="8" t="str">
        <f aca="true">IF(F349="","",ROUND((IF(H349="",TODAY(),H349)-F349)/7,1))</f>
        <v/>
      </c>
      <c r="H349" s="8"/>
      <c r="I349" s="8"/>
      <c r="J349" s="8"/>
      <c r="K349" s="13" t="str">
        <f aca="false">IFERROR(VLOOKUP(B349,colony!$A:$T,16,FALSE()),"")</f>
        <v/>
      </c>
    </row>
    <row r="350" customFormat="false" ht="15" hidden="false" customHeight="false" outlineLevel="0" collapsed="false">
      <c r="A350" s="7" t="s">
        <v>1769</v>
      </c>
      <c r="B350" s="12"/>
      <c r="C350" s="8" t="s">
        <v>54</v>
      </c>
      <c r="D350" s="8"/>
      <c r="E350" s="8"/>
      <c r="F350" s="8"/>
      <c r="G350" s="8" t="str">
        <f aca="true">IF(F350="","",ROUND((IF(H350="",TODAY(),H350)-F350)/7,1))</f>
        <v/>
      </c>
      <c r="H350" s="8"/>
      <c r="I350" s="8"/>
      <c r="J350" s="8"/>
      <c r="K350" s="13" t="str">
        <f aca="false">IFERROR(VLOOKUP(B350,colony!$A:$T,16,FALSE()),"")</f>
        <v/>
      </c>
    </row>
    <row r="351" customFormat="false" ht="15" hidden="false" customHeight="false" outlineLevel="0" collapsed="false">
      <c r="A351" s="7" t="s">
        <v>1770</v>
      </c>
      <c r="B351" s="12"/>
      <c r="C351" s="8" t="s">
        <v>54</v>
      </c>
      <c r="D351" s="8"/>
      <c r="E351" s="8"/>
      <c r="F351" s="8"/>
      <c r="G351" s="8" t="str">
        <f aca="true">IF(F351="","",ROUND((IF(H351="",TODAY(),H351)-F351)/7,1))</f>
        <v/>
      </c>
      <c r="H351" s="8"/>
      <c r="I351" s="8"/>
      <c r="J351" s="8"/>
      <c r="K351" s="13" t="str">
        <f aca="false">IFERROR(VLOOKUP(B351,colony!$A:$T,16,FALSE()),"")</f>
        <v/>
      </c>
    </row>
    <row r="352" customFormat="false" ht="15" hidden="false" customHeight="false" outlineLevel="0" collapsed="false">
      <c r="A352" s="7" t="s">
        <v>1771</v>
      </c>
      <c r="B352" s="12"/>
      <c r="C352" s="8" t="s">
        <v>54</v>
      </c>
      <c r="D352" s="8"/>
      <c r="E352" s="8"/>
      <c r="F352" s="8"/>
      <c r="G352" s="8" t="str">
        <f aca="true">IF(F352="","",ROUND((IF(H352="",TODAY(),H352)-F352)/7,1))</f>
        <v/>
      </c>
      <c r="H352" s="8"/>
      <c r="I352" s="8"/>
      <c r="J352" s="8"/>
      <c r="K352" s="13" t="str">
        <f aca="false">IFERROR(VLOOKUP(B352,colony!$A:$T,16,FALSE()),"")</f>
        <v/>
      </c>
    </row>
    <row r="353" customFormat="false" ht="15" hidden="false" customHeight="false" outlineLevel="0" collapsed="false">
      <c r="A353" s="7" t="s">
        <v>1772</v>
      </c>
      <c r="B353" s="12"/>
      <c r="C353" s="8" t="s">
        <v>54</v>
      </c>
      <c r="D353" s="8"/>
      <c r="E353" s="8"/>
      <c r="F353" s="8"/>
      <c r="G353" s="8" t="str">
        <f aca="true">IF(F353="","",ROUND((IF(H353="",TODAY(),H353)-F353)/7,1))</f>
        <v/>
      </c>
      <c r="H353" s="8"/>
      <c r="I353" s="8"/>
      <c r="J353" s="8"/>
      <c r="K353" s="13" t="str">
        <f aca="false">IFERROR(VLOOKUP(B353,colony!$A:$T,16,FALSE()),"")</f>
        <v/>
      </c>
    </row>
    <row r="354" customFormat="false" ht="15" hidden="false" customHeight="false" outlineLevel="0" collapsed="false">
      <c r="A354" s="7" t="s">
        <v>1773</v>
      </c>
      <c r="B354" s="12"/>
      <c r="C354" s="8" t="s">
        <v>54</v>
      </c>
      <c r="D354" s="8"/>
      <c r="E354" s="8"/>
      <c r="F354" s="8"/>
      <c r="G354" s="8" t="str">
        <f aca="true">IF(F354="","",ROUND((IF(H354="",TODAY(),H354)-F354)/7,1))</f>
        <v/>
      </c>
      <c r="H354" s="8"/>
      <c r="I354" s="8"/>
      <c r="J354" s="8"/>
      <c r="K354" s="13" t="str">
        <f aca="false">IFERROR(VLOOKUP(B354,colony!$A:$T,16,FALSE()),"")</f>
        <v/>
      </c>
    </row>
    <row r="355" customFormat="false" ht="15" hidden="false" customHeight="false" outlineLevel="0" collapsed="false">
      <c r="A355" s="7" t="s">
        <v>1774</v>
      </c>
      <c r="B355" s="12"/>
      <c r="C355" s="8" t="s">
        <v>54</v>
      </c>
      <c r="D355" s="8"/>
      <c r="E355" s="8"/>
      <c r="F355" s="8"/>
      <c r="G355" s="8" t="str">
        <f aca="true">IF(F355="","",ROUND((IF(H355="",TODAY(),H355)-F355)/7,1))</f>
        <v/>
      </c>
      <c r="H355" s="8"/>
      <c r="I355" s="8"/>
      <c r="J355" s="8"/>
      <c r="K355" s="13" t="str">
        <f aca="false">IFERROR(VLOOKUP(B355,colony!$A:$T,16,FALSE()),"")</f>
        <v/>
      </c>
    </row>
    <row r="356" customFormat="false" ht="15" hidden="false" customHeight="false" outlineLevel="0" collapsed="false">
      <c r="A356" s="7" t="s">
        <v>1775</v>
      </c>
      <c r="B356" s="12"/>
      <c r="C356" s="8" t="s">
        <v>54</v>
      </c>
      <c r="D356" s="8"/>
      <c r="E356" s="8"/>
      <c r="F356" s="8"/>
      <c r="G356" s="8" t="str">
        <f aca="true">IF(F356="","",ROUND((IF(H356="",TODAY(),H356)-F356)/7,1))</f>
        <v/>
      </c>
      <c r="H356" s="8"/>
      <c r="I356" s="8"/>
      <c r="J356" s="8"/>
      <c r="K356" s="13" t="str">
        <f aca="false">IFERROR(VLOOKUP(B356,colony!$A:$T,16,FALSE()),"")</f>
        <v/>
      </c>
    </row>
    <row r="357" customFormat="false" ht="15" hidden="false" customHeight="false" outlineLevel="0" collapsed="false">
      <c r="A357" s="7" t="s">
        <v>1776</v>
      </c>
      <c r="B357" s="12"/>
      <c r="C357" s="8" t="s">
        <v>54</v>
      </c>
      <c r="D357" s="8"/>
      <c r="E357" s="8"/>
      <c r="F357" s="8"/>
      <c r="G357" s="8" t="str">
        <f aca="true">IF(F357="","",ROUND((IF(H357="",TODAY(),H357)-F357)/7,1))</f>
        <v/>
      </c>
      <c r="H357" s="8"/>
      <c r="I357" s="8"/>
      <c r="J357" s="8"/>
      <c r="K357" s="13" t="str">
        <f aca="false">IFERROR(VLOOKUP(B357,colony!$A:$T,16,FALSE()),"")</f>
        <v/>
      </c>
    </row>
    <row r="358" customFormat="false" ht="15" hidden="false" customHeight="false" outlineLevel="0" collapsed="false">
      <c r="A358" s="7" t="s">
        <v>1777</v>
      </c>
      <c r="B358" s="12"/>
      <c r="C358" s="8" t="s">
        <v>54</v>
      </c>
      <c r="D358" s="8"/>
      <c r="E358" s="8"/>
      <c r="F358" s="8"/>
      <c r="G358" s="8" t="str">
        <f aca="true">IF(F358="","",ROUND((IF(H358="",TODAY(),H358)-F358)/7,1))</f>
        <v/>
      </c>
      <c r="H358" s="8"/>
      <c r="I358" s="8"/>
      <c r="J358" s="8"/>
      <c r="K358" s="13" t="str">
        <f aca="false">IFERROR(VLOOKUP(B358,colony!$A:$T,16,FALSE()),"")</f>
        <v/>
      </c>
    </row>
    <row r="359" customFormat="false" ht="15" hidden="false" customHeight="false" outlineLevel="0" collapsed="false">
      <c r="A359" s="7" t="s">
        <v>1778</v>
      </c>
      <c r="B359" s="12"/>
      <c r="C359" s="8" t="s">
        <v>54</v>
      </c>
      <c r="D359" s="8"/>
      <c r="E359" s="8"/>
      <c r="F359" s="8"/>
      <c r="G359" s="8" t="str">
        <f aca="true">IF(F359="","",ROUND((IF(H359="",TODAY(),H359)-F359)/7,1))</f>
        <v/>
      </c>
      <c r="H359" s="8"/>
      <c r="I359" s="8"/>
      <c r="J359" s="8"/>
      <c r="K359" s="13" t="str">
        <f aca="false">IFERROR(VLOOKUP(B359,colony!$A:$T,16,FALSE()),"")</f>
        <v/>
      </c>
    </row>
    <row r="360" customFormat="false" ht="15" hidden="false" customHeight="false" outlineLevel="0" collapsed="false">
      <c r="A360" s="7" t="s">
        <v>1779</v>
      </c>
      <c r="B360" s="12"/>
      <c r="C360" s="8" t="s">
        <v>54</v>
      </c>
      <c r="D360" s="8"/>
      <c r="E360" s="8"/>
      <c r="F360" s="8"/>
      <c r="G360" s="8" t="str">
        <f aca="true">IF(F360="","",ROUND((IF(H360="",TODAY(),H360)-F360)/7,1))</f>
        <v/>
      </c>
      <c r="H360" s="8"/>
      <c r="I360" s="8"/>
      <c r="J360" s="8"/>
      <c r="K360" s="13" t="str">
        <f aca="false">IFERROR(VLOOKUP(B360,colony!$A:$T,16,FALSE()),"")</f>
        <v/>
      </c>
    </row>
    <row r="361" customFormat="false" ht="15" hidden="false" customHeight="false" outlineLevel="0" collapsed="false">
      <c r="A361" s="7" t="s">
        <v>1780</v>
      </c>
      <c r="B361" s="12"/>
      <c r="C361" s="8" t="s">
        <v>54</v>
      </c>
      <c r="D361" s="8"/>
      <c r="E361" s="8"/>
      <c r="F361" s="8"/>
      <c r="G361" s="8" t="str">
        <f aca="true">IF(F361="","",ROUND((IF(H361="",TODAY(),H361)-F361)/7,1))</f>
        <v/>
      </c>
      <c r="H361" s="8"/>
      <c r="I361" s="8"/>
      <c r="J361" s="8"/>
      <c r="K361" s="13" t="str">
        <f aca="false">IFERROR(VLOOKUP(B361,colony!$A:$T,16,FALSE()),"")</f>
        <v/>
      </c>
    </row>
    <row r="362" customFormat="false" ht="15" hidden="false" customHeight="false" outlineLevel="0" collapsed="false">
      <c r="A362" s="7" t="s">
        <v>1781</v>
      </c>
      <c r="B362" s="12"/>
      <c r="C362" s="8" t="s">
        <v>54</v>
      </c>
      <c r="D362" s="8"/>
      <c r="E362" s="8"/>
      <c r="F362" s="8"/>
      <c r="G362" s="8" t="str">
        <f aca="true">IF(F362="","",ROUND((IF(H362="",TODAY(),H362)-F362)/7,1))</f>
        <v/>
      </c>
      <c r="H362" s="8"/>
      <c r="I362" s="8"/>
      <c r="J362" s="8"/>
      <c r="K362" s="13" t="str">
        <f aca="false">IFERROR(VLOOKUP(B362,colony!$A:$T,16,FALSE()),"")</f>
        <v/>
      </c>
    </row>
    <row r="363" customFormat="false" ht="15" hidden="false" customHeight="false" outlineLevel="0" collapsed="false">
      <c r="A363" s="7" t="s">
        <v>1782</v>
      </c>
      <c r="B363" s="12"/>
      <c r="C363" s="8" t="s">
        <v>54</v>
      </c>
      <c r="D363" s="8"/>
      <c r="E363" s="8"/>
      <c r="F363" s="8"/>
      <c r="G363" s="8" t="str">
        <f aca="true">IF(F363="","",ROUND((IF(H363="",TODAY(),H363)-F363)/7,1))</f>
        <v/>
      </c>
      <c r="H363" s="8"/>
      <c r="I363" s="8"/>
      <c r="J363" s="8"/>
      <c r="K363" s="13" t="str">
        <f aca="false">IFERROR(VLOOKUP(B363,colony!$A:$T,16,FALSE()),"")</f>
        <v/>
      </c>
    </row>
    <row r="364" customFormat="false" ht="15" hidden="false" customHeight="false" outlineLevel="0" collapsed="false">
      <c r="A364" s="7" t="s">
        <v>1783</v>
      </c>
      <c r="B364" s="12"/>
      <c r="C364" s="8" t="s">
        <v>54</v>
      </c>
      <c r="D364" s="8"/>
      <c r="E364" s="8"/>
      <c r="F364" s="8"/>
      <c r="G364" s="8" t="str">
        <f aca="true">IF(F364="","",ROUND((IF(H364="",TODAY(),H364)-F364)/7,1))</f>
        <v/>
      </c>
      <c r="H364" s="8"/>
      <c r="I364" s="8"/>
      <c r="J364" s="8"/>
      <c r="K364" s="13" t="str">
        <f aca="false">IFERROR(VLOOKUP(B364,colony!$A:$T,16,FALSE()),"")</f>
        <v/>
      </c>
    </row>
    <row r="365" customFormat="false" ht="15" hidden="false" customHeight="false" outlineLevel="0" collapsed="false">
      <c r="A365" s="7" t="s">
        <v>1784</v>
      </c>
      <c r="B365" s="12"/>
      <c r="C365" s="8" t="s">
        <v>54</v>
      </c>
      <c r="D365" s="8"/>
      <c r="E365" s="8"/>
      <c r="F365" s="8"/>
      <c r="G365" s="8" t="str">
        <f aca="true">IF(F365="","",ROUND((IF(H365="",TODAY(),H365)-F365)/7,1))</f>
        <v/>
      </c>
      <c r="H365" s="8"/>
      <c r="I365" s="8"/>
      <c r="J365" s="8"/>
      <c r="K365" s="13" t="str">
        <f aca="false">IFERROR(VLOOKUP(B365,colony!$A:$T,16,FALSE()),"")</f>
        <v/>
      </c>
    </row>
    <row r="366" customFormat="false" ht="15" hidden="false" customHeight="false" outlineLevel="0" collapsed="false">
      <c r="A366" s="7" t="s">
        <v>1785</v>
      </c>
      <c r="B366" s="12"/>
      <c r="C366" s="8" t="s">
        <v>54</v>
      </c>
      <c r="D366" s="8"/>
      <c r="E366" s="8"/>
      <c r="F366" s="8"/>
      <c r="G366" s="8" t="str">
        <f aca="true">IF(F366="","",ROUND((IF(H366="",TODAY(),H366)-F366)/7,1))</f>
        <v/>
      </c>
      <c r="H366" s="8"/>
      <c r="I366" s="8"/>
      <c r="J366" s="8"/>
      <c r="K366" s="13" t="str">
        <f aca="false">IFERROR(VLOOKUP(B366,colony!$A:$T,16,FALSE()),"")</f>
        <v/>
      </c>
    </row>
    <row r="367" customFormat="false" ht="15" hidden="false" customHeight="false" outlineLevel="0" collapsed="false">
      <c r="A367" s="7" t="s">
        <v>1786</v>
      </c>
      <c r="B367" s="12"/>
      <c r="C367" s="8" t="s">
        <v>54</v>
      </c>
      <c r="D367" s="8"/>
      <c r="E367" s="8"/>
      <c r="F367" s="8"/>
      <c r="G367" s="8" t="str">
        <f aca="true">IF(F367="","",ROUND((IF(H367="",TODAY(),H367)-F367)/7,1))</f>
        <v/>
      </c>
      <c r="H367" s="8"/>
      <c r="I367" s="8"/>
      <c r="J367" s="8"/>
      <c r="K367" s="13" t="str">
        <f aca="false">IFERROR(VLOOKUP(B367,colony!$A:$T,16,FALSE()),"")</f>
        <v/>
      </c>
    </row>
    <row r="368" customFormat="false" ht="15" hidden="false" customHeight="false" outlineLevel="0" collapsed="false">
      <c r="A368" s="7" t="s">
        <v>1787</v>
      </c>
      <c r="B368" s="12"/>
      <c r="C368" s="8" t="s">
        <v>54</v>
      </c>
      <c r="D368" s="8"/>
      <c r="E368" s="8"/>
      <c r="F368" s="8"/>
      <c r="G368" s="8" t="str">
        <f aca="true">IF(F368="","",ROUND((IF(H368="",TODAY(),H368)-F368)/7,1))</f>
        <v/>
      </c>
      <c r="H368" s="8"/>
      <c r="I368" s="8"/>
      <c r="J368" s="8"/>
      <c r="K368" s="13" t="str">
        <f aca="false">IFERROR(VLOOKUP(B368,colony!$A:$T,16,FALSE()),"")</f>
        <v/>
      </c>
    </row>
    <row r="369" customFormat="false" ht="15" hidden="false" customHeight="false" outlineLevel="0" collapsed="false">
      <c r="A369" s="7" t="s">
        <v>1788</v>
      </c>
      <c r="B369" s="12"/>
      <c r="C369" s="8" t="s">
        <v>54</v>
      </c>
      <c r="D369" s="8"/>
      <c r="E369" s="8"/>
      <c r="F369" s="8"/>
      <c r="G369" s="8" t="str">
        <f aca="true">IF(F369="","",ROUND((IF(H369="",TODAY(),H369)-F369)/7,1))</f>
        <v/>
      </c>
      <c r="H369" s="8"/>
      <c r="I369" s="8"/>
      <c r="J369" s="8"/>
      <c r="K369" s="13" t="str">
        <f aca="false">IFERROR(VLOOKUP(B369,colony!$A:$T,16,FALSE()),"")</f>
        <v/>
      </c>
    </row>
    <row r="370" customFormat="false" ht="15" hidden="false" customHeight="false" outlineLevel="0" collapsed="false">
      <c r="A370" s="7" t="s">
        <v>1789</v>
      </c>
      <c r="B370" s="12"/>
      <c r="C370" s="8" t="s">
        <v>54</v>
      </c>
      <c r="D370" s="8"/>
      <c r="E370" s="8"/>
      <c r="F370" s="8"/>
      <c r="G370" s="8" t="str">
        <f aca="true">IF(F370="","",ROUND((IF(H370="",TODAY(),H370)-F370)/7,1))</f>
        <v/>
      </c>
      <c r="H370" s="8"/>
      <c r="I370" s="8"/>
      <c r="J370" s="8"/>
      <c r="K370" s="13" t="str">
        <f aca="false">IFERROR(VLOOKUP(B370,colony!$A:$T,16,FALSE()),"")</f>
        <v/>
      </c>
    </row>
    <row r="371" customFormat="false" ht="15" hidden="false" customHeight="false" outlineLevel="0" collapsed="false">
      <c r="A371" s="7" t="s">
        <v>1790</v>
      </c>
      <c r="B371" s="12"/>
      <c r="C371" s="8" t="s">
        <v>54</v>
      </c>
      <c r="D371" s="8"/>
      <c r="E371" s="8"/>
      <c r="F371" s="8"/>
      <c r="G371" s="8" t="str">
        <f aca="true">IF(F371="","",ROUND((IF(H371="",TODAY(),H371)-F371)/7,1))</f>
        <v/>
      </c>
      <c r="H371" s="8"/>
      <c r="I371" s="8"/>
      <c r="J371" s="8"/>
      <c r="K371" s="13" t="str">
        <f aca="false">IFERROR(VLOOKUP(B371,colony!$A:$T,16,FALSE()),"")</f>
        <v/>
      </c>
    </row>
    <row r="372" customFormat="false" ht="15" hidden="false" customHeight="false" outlineLevel="0" collapsed="false">
      <c r="A372" s="7" t="s">
        <v>1791</v>
      </c>
      <c r="B372" s="12"/>
      <c r="C372" s="8" t="s">
        <v>54</v>
      </c>
      <c r="D372" s="8"/>
      <c r="E372" s="8"/>
      <c r="F372" s="8"/>
      <c r="G372" s="8" t="str">
        <f aca="true">IF(F372="","",ROUND((IF(H372="",TODAY(),H372)-F372)/7,1))</f>
        <v/>
      </c>
      <c r="H372" s="8"/>
      <c r="I372" s="8"/>
      <c r="J372" s="8"/>
      <c r="K372" s="13" t="str">
        <f aca="false">IFERROR(VLOOKUP(B372,colony!$A:$T,16,FALSE()),"")</f>
        <v/>
      </c>
    </row>
    <row r="373" customFormat="false" ht="15" hidden="false" customHeight="false" outlineLevel="0" collapsed="false">
      <c r="A373" s="7" t="s">
        <v>1792</v>
      </c>
      <c r="B373" s="12"/>
      <c r="C373" s="8" t="s">
        <v>54</v>
      </c>
      <c r="D373" s="8"/>
      <c r="E373" s="8"/>
      <c r="F373" s="8"/>
      <c r="G373" s="8" t="str">
        <f aca="true">IF(F373="","",ROUND((IF(H373="",TODAY(),H373)-F373)/7,1))</f>
        <v/>
      </c>
      <c r="H373" s="8"/>
      <c r="I373" s="8"/>
      <c r="J373" s="8"/>
      <c r="K373" s="13" t="str">
        <f aca="false">IFERROR(VLOOKUP(B373,colony!$A:$T,16,FALSE()),"")</f>
        <v/>
      </c>
    </row>
    <row r="374" customFormat="false" ht="15" hidden="false" customHeight="false" outlineLevel="0" collapsed="false">
      <c r="A374" s="7" t="s">
        <v>1793</v>
      </c>
      <c r="B374" s="12"/>
      <c r="C374" s="8" t="s">
        <v>54</v>
      </c>
      <c r="D374" s="8"/>
      <c r="E374" s="8"/>
      <c r="F374" s="8"/>
      <c r="G374" s="8" t="str">
        <f aca="true">IF(F374="","",ROUND((IF(H374="",TODAY(),H374)-F374)/7,1))</f>
        <v/>
      </c>
      <c r="H374" s="8"/>
      <c r="I374" s="8"/>
      <c r="J374" s="8"/>
      <c r="K374" s="13" t="str">
        <f aca="false">IFERROR(VLOOKUP(B374,colony!$A:$T,16,FALSE()),"")</f>
        <v/>
      </c>
    </row>
    <row r="375" customFormat="false" ht="15" hidden="false" customHeight="false" outlineLevel="0" collapsed="false">
      <c r="A375" s="7" t="s">
        <v>1794</v>
      </c>
      <c r="B375" s="12"/>
      <c r="C375" s="8" t="s">
        <v>54</v>
      </c>
      <c r="D375" s="8"/>
      <c r="E375" s="8"/>
      <c r="F375" s="8"/>
      <c r="G375" s="8" t="str">
        <f aca="true">IF(F375="","",ROUND((IF(H375="",TODAY(),H375)-F375)/7,1))</f>
        <v/>
      </c>
      <c r="H375" s="8"/>
      <c r="I375" s="8"/>
      <c r="J375" s="8"/>
      <c r="K375" s="13" t="str">
        <f aca="false">IFERROR(VLOOKUP(B375,colony!$A:$T,16,FALSE()),"")</f>
        <v/>
      </c>
    </row>
    <row r="376" customFormat="false" ht="15" hidden="false" customHeight="false" outlineLevel="0" collapsed="false">
      <c r="A376" s="7" t="s">
        <v>1795</v>
      </c>
      <c r="B376" s="12"/>
      <c r="C376" s="8" t="s">
        <v>54</v>
      </c>
      <c r="D376" s="8"/>
      <c r="E376" s="8"/>
      <c r="F376" s="8"/>
      <c r="G376" s="8" t="str">
        <f aca="true">IF(F376="","",ROUND((IF(H376="",TODAY(),H376)-F376)/7,1))</f>
        <v/>
      </c>
      <c r="H376" s="8"/>
      <c r="I376" s="8"/>
      <c r="J376" s="8"/>
      <c r="K376" s="13" t="str">
        <f aca="false">IFERROR(VLOOKUP(B376,colony!$A:$T,16,FALSE()),"")</f>
        <v/>
      </c>
    </row>
    <row r="377" customFormat="false" ht="15" hidden="false" customHeight="false" outlineLevel="0" collapsed="false">
      <c r="A377" s="7" t="s">
        <v>1796</v>
      </c>
      <c r="B377" s="12"/>
      <c r="C377" s="8" t="s">
        <v>54</v>
      </c>
      <c r="D377" s="8"/>
      <c r="E377" s="8"/>
      <c r="F377" s="8"/>
      <c r="G377" s="8" t="str">
        <f aca="true">IF(F377="","",ROUND((IF(H377="",TODAY(),H377)-F377)/7,1))</f>
        <v/>
      </c>
      <c r="H377" s="8"/>
      <c r="I377" s="8"/>
      <c r="J377" s="8"/>
      <c r="K377" s="13" t="str">
        <f aca="false">IFERROR(VLOOKUP(B377,colony!$A:$T,16,FALSE()),"")</f>
        <v/>
      </c>
    </row>
    <row r="378" customFormat="false" ht="15" hidden="false" customHeight="false" outlineLevel="0" collapsed="false">
      <c r="A378" s="7" t="s">
        <v>1797</v>
      </c>
      <c r="B378" s="12"/>
      <c r="C378" s="8" t="s">
        <v>54</v>
      </c>
      <c r="D378" s="8"/>
      <c r="E378" s="8"/>
      <c r="F378" s="8"/>
      <c r="G378" s="8" t="str">
        <f aca="true">IF(F378="","",ROUND((IF(H378="",TODAY(),H378)-F378)/7,1))</f>
        <v/>
      </c>
      <c r="H378" s="8"/>
      <c r="I378" s="8"/>
      <c r="J378" s="8"/>
      <c r="K378" s="13" t="str">
        <f aca="false">IFERROR(VLOOKUP(B378,colony!$A:$T,16,FALSE()),"")</f>
        <v/>
      </c>
    </row>
    <row r="379" customFormat="false" ht="15" hidden="false" customHeight="false" outlineLevel="0" collapsed="false">
      <c r="A379" s="7" t="s">
        <v>1798</v>
      </c>
      <c r="B379" s="12"/>
      <c r="C379" s="8" t="s">
        <v>54</v>
      </c>
      <c r="D379" s="8"/>
      <c r="E379" s="8"/>
      <c r="F379" s="8"/>
      <c r="G379" s="8" t="str">
        <f aca="true">IF(F379="","",ROUND((IF(H379="",TODAY(),H379)-F379)/7,1))</f>
        <v/>
      </c>
      <c r="H379" s="8"/>
      <c r="I379" s="8"/>
      <c r="J379" s="8"/>
      <c r="K379" s="13" t="str">
        <f aca="false">IFERROR(VLOOKUP(B379,colony!$A:$T,16,FALSE()),"")</f>
        <v/>
      </c>
    </row>
    <row r="380" customFormat="false" ht="15" hidden="false" customHeight="false" outlineLevel="0" collapsed="false">
      <c r="A380" s="7" t="s">
        <v>1799</v>
      </c>
      <c r="B380" s="12"/>
      <c r="C380" s="8" t="s">
        <v>54</v>
      </c>
      <c r="D380" s="8"/>
      <c r="E380" s="8"/>
      <c r="F380" s="8"/>
      <c r="G380" s="8" t="str">
        <f aca="true">IF(F380="","",ROUND((IF(H380="",TODAY(),H380)-F380)/7,1))</f>
        <v/>
      </c>
      <c r="H380" s="8"/>
      <c r="I380" s="8"/>
      <c r="J380" s="8"/>
      <c r="K380" s="13" t="str">
        <f aca="false">IFERROR(VLOOKUP(B380,colony!$A:$T,16,FALSE()),"")</f>
        <v/>
      </c>
    </row>
    <row r="381" customFormat="false" ht="15" hidden="false" customHeight="false" outlineLevel="0" collapsed="false">
      <c r="A381" s="7" t="s">
        <v>1800</v>
      </c>
      <c r="B381" s="12"/>
      <c r="C381" s="8" t="s">
        <v>54</v>
      </c>
      <c r="D381" s="8"/>
      <c r="E381" s="8"/>
      <c r="F381" s="8"/>
      <c r="G381" s="8" t="str">
        <f aca="true">IF(F381="","",ROUND((IF(H381="",TODAY(),H381)-F381)/7,1))</f>
        <v/>
      </c>
      <c r="H381" s="8"/>
      <c r="I381" s="8"/>
      <c r="J381" s="8"/>
      <c r="K381" s="13" t="str">
        <f aca="false">IFERROR(VLOOKUP(B381,colony!$A:$T,16,FALSE()),"")</f>
        <v/>
      </c>
    </row>
    <row r="382" customFormat="false" ht="15" hidden="false" customHeight="false" outlineLevel="0" collapsed="false">
      <c r="A382" s="7" t="s">
        <v>1801</v>
      </c>
      <c r="B382" s="12"/>
      <c r="C382" s="8" t="s">
        <v>54</v>
      </c>
      <c r="D382" s="8"/>
      <c r="E382" s="8"/>
      <c r="F382" s="8"/>
      <c r="G382" s="8" t="str">
        <f aca="true">IF(F382="","",ROUND((IF(H382="",TODAY(),H382)-F382)/7,1))</f>
        <v/>
      </c>
      <c r="H382" s="8"/>
      <c r="I382" s="8"/>
      <c r="J382" s="8"/>
      <c r="K382" s="13" t="str">
        <f aca="false">IFERROR(VLOOKUP(B382,colony!$A:$T,16,FALSE()),"")</f>
        <v/>
      </c>
    </row>
    <row r="383" customFormat="false" ht="15" hidden="false" customHeight="false" outlineLevel="0" collapsed="false">
      <c r="A383" s="7" t="s">
        <v>1802</v>
      </c>
      <c r="B383" s="12"/>
      <c r="C383" s="8" t="s">
        <v>54</v>
      </c>
      <c r="D383" s="8"/>
      <c r="E383" s="8"/>
      <c r="F383" s="8"/>
      <c r="G383" s="8" t="str">
        <f aca="true">IF(F383="","",ROUND((IF(H383="",TODAY(),H383)-F383)/7,1))</f>
        <v/>
      </c>
      <c r="H383" s="8"/>
      <c r="I383" s="8"/>
      <c r="J383" s="8"/>
      <c r="K383" s="13" t="str">
        <f aca="false">IFERROR(VLOOKUP(B383,colony!$A:$T,16,FALSE()),"")</f>
        <v/>
      </c>
    </row>
    <row r="384" customFormat="false" ht="15" hidden="false" customHeight="false" outlineLevel="0" collapsed="false">
      <c r="A384" s="7" t="s">
        <v>1803</v>
      </c>
      <c r="B384" s="12"/>
      <c r="C384" s="8" t="s">
        <v>54</v>
      </c>
      <c r="D384" s="8"/>
      <c r="E384" s="8"/>
      <c r="F384" s="8"/>
      <c r="G384" s="8" t="str">
        <f aca="true">IF(F384="","",ROUND((IF(H384="",TODAY(),H384)-F384)/7,1))</f>
        <v/>
      </c>
      <c r="H384" s="8"/>
      <c r="I384" s="8"/>
      <c r="J384" s="8"/>
      <c r="K384" s="13" t="str">
        <f aca="false">IFERROR(VLOOKUP(B384,colony!$A:$T,16,FALSE()),"")</f>
        <v/>
      </c>
    </row>
    <row r="385" customFormat="false" ht="15" hidden="false" customHeight="false" outlineLevel="0" collapsed="false">
      <c r="A385" s="7" t="s">
        <v>1804</v>
      </c>
      <c r="B385" s="12"/>
      <c r="C385" s="8" t="s">
        <v>54</v>
      </c>
      <c r="D385" s="8"/>
      <c r="E385" s="8"/>
      <c r="F385" s="8"/>
      <c r="G385" s="8" t="str">
        <f aca="true">IF(F385="","",ROUND((IF(H385="",TODAY(),H385)-F385)/7,1))</f>
        <v/>
      </c>
      <c r="H385" s="8"/>
      <c r="I385" s="8"/>
      <c r="J385" s="8"/>
      <c r="K385" s="13" t="str">
        <f aca="false">IFERROR(VLOOKUP(B385,colony!$A:$T,16,FALSE()),"")</f>
        <v/>
      </c>
    </row>
    <row r="386" customFormat="false" ht="15" hidden="false" customHeight="false" outlineLevel="0" collapsed="false">
      <c r="A386" s="7" t="s">
        <v>1805</v>
      </c>
      <c r="B386" s="12"/>
      <c r="C386" s="8" t="s">
        <v>54</v>
      </c>
      <c r="D386" s="8"/>
      <c r="E386" s="8"/>
      <c r="F386" s="8"/>
      <c r="G386" s="8" t="str">
        <f aca="true">IF(F386="","",ROUND((IF(H386="",TODAY(),H386)-F386)/7,1))</f>
        <v/>
      </c>
      <c r="H386" s="8"/>
      <c r="I386" s="8"/>
      <c r="J386" s="8"/>
      <c r="K386" s="13" t="str">
        <f aca="false">IFERROR(VLOOKUP(B386,colony!$A:$T,16,FALSE()),"")</f>
        <v/>
      </c>
    </row>
    <row r="387" customFormat="false" ht="15" hidden="false" customHeight="false" outlineLevel="0" collapsed="false">
      <c r="A387" s="7" t="s">
        <v>1806</v>
      </c>
      <c r="B387" s="12"/>
      <c r="C387" s="8" t="s">
        <v>54</v>
      </c>
      <c r="D387" s="8"/>
      <c r="E387" s="8"/>
      <c r="F387" s="8"/>
      <c r="G387" s="8" t="str">
        <f aca="true">IF(F387="","",ROUND((IF(H387="",TODAY(),H387)-F387)/7,1))</f>
        <v/>
      </c>
      <c r="H387" s="8"/>
      <c r="I387" s="8"/>
      <c r="J387" s="8"/>
      <c r="K387" s="13" t="str">
        <f aca="false">IFERROR(VLOOKUP(B387,colony!$A:$T,16,FALSE()),"")</f>
        <v/>
      </c>
    </row>
    <row r="388" customFormat="false" ht="15" hidden="false" customHeight="false" outlineLevel="0" collapsed="false">
      <c r="A388" s="7" t="s">
        <v>1807</v>
      </c>
      <c r="B388" s="12"/>
      <c r="C388" s="8" t="s">
        <v>54</v>
      </c>
      <c r="D388" s="8"/>
      <c r="E388" s="8"/>
      <c r="F388" s="8"/>
      <c r="G388" s="8" t="str">
        <f aca="true">IF(F388="","",ROUND((IF(H388="",TODAY(),H388)-F388)/7,1))</f>
        <v/>
      </c>
      <c r="H388" s="8"/>
      <c r="I388" s="8"/>
      <c r="J388" s="8"/>
      <c r="K388" s="13" t="str">
        <f aca="false">IFERROR(VLOOKUP(B388,colony!$A:$T,16,FALSE()),"")</f>
        <v/>
      </c>
    </row>
    <row r="389" customFormat="false" ht="15" hidden="false" customHeight="false" outlineLevel="0" collapsed="false">
      <c r="A389" s="7" t="s">
        <v>1808</v>
      </c>
      <c r="B389" s="12"/>
      <c r="C389" s="8" t="s">
        <v>54</v>
      </c>
      <c r="D389" s="8"/>
      <c r="E389" s="8"/>
      <c r="F389" s="8"/>
      <c r="G389" s="8" t="str">
        <f aca="true">IF(F389="","",ROUND((IF(H389="",TODAY(),H389)-F389)/7,1))</f>
        <v/>
      </c>
      <c r="H389" s="8"/>
      <c r="I389" s="8"/>
      <c r="J389" s="8"/>
      <c r="K389" s="13" t="str">
        <f aca="false">IFERROR(VLOOKUP(B389,colony!$A:$T,16,FALSE()),"")</f>
        <v/>
      </c>
    </row>
    <row r="390" customFormat="false" ht="15" hidden="false" customHeight="false" outlineLevel="0" collapsed="false">
      <c r="A390" s="7" t="s">
        <v>1809</v>
      </c>
      <c r="B390" s="12"/>
      <c r="C390" s="8" t="s">
        <v>54</v>
      </c>
      <c r="D390" s="8"/>
      <c r="E390" s="8"/>
      <c r="F390" s="8"/>
      <c r="G390" s="8" t="str">
        <f aca="true">IF(F390="","",ROUND((IF(H390="",TODAY(),H390)-F390)/7,1))</f>
        <v/>
      </c>
      <c r="H390" s="8"/>
      <c r="I390" s="8"/>
      <c r="J390" s="8"/>
      <c r="K390" s="13" t="str">
        <f aca="false">IFERROR(VLOOKUP(B390,colony!$A:$T,16,FALSE()),"")</f>
        <v/>
      </c>
    </row>
    <row r="391" customFormat="false" ht="15" hidden="false" customHeight="false" outlineLevel="0" collapsed="false">
      <c r="A391" s="7" t="s">
        <v>1810</v>
      </c>
      <c r="B391" s="12"/>
      <c r="C391" s="8" t="s">
        <v>54</v>
      </c>
      <c r="D391" s="8"/>
      <c r="E391" s="8"/>
      <c r="F391" s="8"/>
      <c r="G391" s="8" t="str">
        <f aca="true">IF(F391="","",ROUND((IF(H391="",TODAY(),H391)-F391)/7,1))</f>
        <v/>
      </c>
      <c r="H391" s="8"/>
      <c r="I391" s="8"/>
      <c r="J391" s="8"/>
      <c r="K391" s="13" t="str">
        <f aca="false">IFERROR(VLOOKUP(B391,colony!$A:$T,16,FALSE()),"")</f>
        <v/>
      </c>
    </row>
    <row r="392" customFormat="false" ht="15" hidden="false" customHeight="false" outlineLevel="0" collapsed="false">
      <c r="A392" s="7" t="s">
        <v>1811</v>
      </c>
      <c r="B392" s="12"/>
      <c r="C392" s="8" t="s">
        <v>54</v>
      </c>
      <c r="D392" s="8"/>
      <c r="E392" s="8"/>
      <c r="F392" s="8"/>
      <c r="G392" s="8" t="str">
        <f aca="true">IF(F392="","",ROUND((IF(H392="",TODAY(),H392)-F392)/7,1))</f>
        <v/>
      </c>
      <c r="H392" s="8"/>
      <c r="I392" s="8"/>
      <c r="J392" s="8"/>
      <c r="K392" s="13" t="str">
        <f aca="false">IFERROR(VLOOKUP(B392,colony!$A:$T,16,FALSE()),"")</f>
        <v/>
      </c>
    </row>
    <row r="393" customFormat="false" ht="15" hidden="false" customHeight="false" outlineLevel="0" collapsed="false">
      <c r="A393" s="7" t="s">
        <v>1812</v>
      </c>
      <c r="B393" s="12"/>
      <c r="C393" s="8" t="s">
        <v>54</v>
      </c>
      <c r="D393" s="8"/>
      <c r="E393" s="8"/>
      <c r="F393" s="8"/>
      <c r="G393" s="8" t="str">
        <f aca="true">IF(F393="","",ROUND((IF(H393="",TODAY(),H393)-F393)/7,1))</f>
        <v/>
      </c>
      <c r="H393" s="8"/>
      <c r="I393" s="8"/>
      <c r="J393" s="8"/>
      <c r="K393" s="13" t="str">
        <f aca="false">IFERROR(VLOOKUP(B393,colony!$A:$T,16,FALSE()),"")</f>
        <v/>
      </c>
    </row>
    <row r="394" customFormat="false" ht="15" hidden="false" customHeight="false" outlineLevel="0" collapsed="false">
      <c r="A394" s="7" t="s">
        <v>1813</v>
      </c>
      <c r="B394" s="12"/>
      <c r="C394" s="8" t="s">
        <v>54</v>
      </c>
      <c r="D394" s="8"/>
      <c r="E394" s="8"/>
      <c r="F394" s="8"/>
      <c r="G394" s="8" t="str">
        <f aca="true">IF(F394="","",ROUND((IF(H394="",TODAY(),H394)-F394)/7,1))</f>
        <v/>
      </c>
      <c r="H394" s="8"/>
      <c r="I394" s="8"/>
      <c r="J394" s="8"/>
      <c r="K394" s="13" t="str">
        <f aca="false">IFERROR(VLOOKUP(B394,colony!$A:$T,16,FALSE()),"")</f>
        <v/>
      </c>
    </row>
    <row r="395" customFormat="false" ht="15" hidden="false" customHeight="false" outlineLevel="0" collapsed="false">
      <c r="A395" s="7" t="s">
        <v>1814</v>
      </c>
      <c r="B395" s="12"/>
      <c r="C395" s="8" t="s">
        <v>54</v>
      </c>
      <c r="D395" s="8"/>
      <c r="E395" s="8"/>
      <c r="F395" s="8"/>
      <c r="G395" s="8" t="str">
        <f aca="true">IF(F395="","",ROUND((IF(H395="",TODAY(),H395)-F395)/7,1))</f>
        <v/>
      </c>
      <c r="H395" s="8"/>
      <c r="I395" s="8"/>
      <c r="J395" s="8"/>
      <c r="K395" s="13" t="str">
        <f aca="false">IFERROR(VLOOKUP(B395,colony!$A:$T,16,FALSE()),"")</f>
        <v/>
      </c>
    </row>
    <row r="396" customFormat="false" ht="15" hidden="false" customHeight="false" outlineLevel="0" collapsed="false">
      <c r="A396" s="7" t="s">
        <v>1815</v>
      </c>
      <c r="B396" s="12"/>
      <c r="C396" s="8" t="s">
        <v>54</v>
      </c>
      <c r="D396" s="8"/>
      <c r="E396" s="8"/>
      <c r="F396" s="8"/>
      <c r="G396" s="8" t="str">
        <f aca="true">IF(F396="","",ROUND((IF(H396="",TODAY(),H396)-F396)/7,1))</f>
        <v/>
      </c>
      <c r="H396" s="8"/>
      <c r="I396" s="8"/>
      <c r="J396" s="8"/>
      <c r="K396" s="13" t="str">
        <f aca="false">IFERROR(VLOOKUP(B396,colony!$A:$T,16,FALSE()),"")</f>
        <v/>
      </c>
    </row>
    <row r="397" customFormat="false" ht="15" hidden="false" customHeight="false" outlineLevel="0" collapsed="false">
      <c r="A397" s="7" t="s">
        <v>1816</v>
      </c>
      <c r="B397" s="12"/>
      <c r="C397" s="8" t="s">
        <v>54</v>
      </c>
      <c r="D397" s="8"/>
      <c r="E397" s="8"/>
      <c r="F397" s="8"/>
      <c r="G397" s="8" t="str">
        <f aca="true">IF(F397="","",ROUND((IF(H397="",TODAY(),H397)-F397)/7,1))</f>
        <v/>
      </c>
      <c r="H397" s="8"/>
      <c r="I397" s="8"/>
      <c r="J397" s="8"/>
      <c r="K397" s="13" t="str">
        <f aca="false">IFERROR(VLOOKUP(B397,colony!$A:$T,16,FALSE()),"")</f>
        <v/>
      </c>
    </row>
    <row r="398" customFormat="false" ht="15" hidden="false" customHeight="false" outlineLevel="0" collapsed="false">
      <c r="A398" s="7" t="s">
        <v>1817</v>
      </c>
      <c r="B398" s="12"/>
      <c r="C398" s="8" t="s">
        <v>54</v>
      </c>
      <c r="D398" s="8"/>
      <c r="E398" s="8"/>
      <c r="F398" s="8"/>
      <c r="G398" s="8" t="str">
        <f aca="true">IF(F398="","",ROUND((IF(H398="",TODAY(),H398)-F398)/7,1))</f>
        <v/>
      </c>
      <c r="H398" s="8"/>
      <c r="I398" s="8"/>
      <c r="J398" s="8"/>
      <c r="K398" s="13" t="str">
        <f aca="false">IFERROR(VLOOKUP(B398,colony!$A:$T,16,FALSE()),"")</f>
        <v/>
      </c>
    </row>
    <row r="399" customFormat="false" ht="15" hidden="false" customHeight="false" outlineLevel="0" collapsed="false">
      <c r="A399" s="7" t="s">
        <v>1818</v>
      </c>
      <c r="B399" s="12"/>
      <c r="C399" s="8" t="s">
        <v>54</v>
      </c>
      <c r="D399" s="8"/>
      <c r="E399" s="8"/>
      <c r="F399" s="8"/>
      <c r="G399" s="8" t="str">
        <f aca="true">IF(F399="","",ROUND((IF(H399="",TODAY(),H399)-F399)/7,1))</f>
        <v/>
      </c>
      <c r="H399" s="8"/>
      <c r="I399" s="8"/>
      <c r="J399" s="8"/>
      <c r="K399" s="13" t="str">
        <f aca="false">IFERROR(VLOOKUP(B399,colony!$A:$T,16,FALSE()),"")</f>
        <v/>
      </c>
    </row>
    <row r="400" customFormat="false" ht="15" hidden="false" customHeight="false" outlineLevel="0" collapsed="false">
      <c r="A400" s="7" t="s">
        <v>1819</v>
      </c>
      <c r="B400" s="12"/>
      <c r="C400" s="8" t="s">
        <v>54</v>
      </c>
      <c r="D400" s="8"/>
      <c r="E400" s="8"/>
      <c r="F400" s="8"/>
      <c r="G400" s="8" t="str">
        <f aca="true">IF(F400="","",ROUND((IF(H400="",TODAY(),H400)-F400)/7,1))</f>
        <v/>
      </c>
      <c r="H400" s="8"/>
      <c r="I400" s="8"/>
      <c r="J400" s="8"/>
      <c r="K400" s="13" t="str">
        <f aca="false">IFERROR(VLOOKUP(B400,colony!$A:$T,16,FALSE()),"")</f>
        <v/>
      </c>
    </row>
    <row r="401" customFormat="false" ht="15" hidden="false" customHeight="false" outlineLevel="0" collapsed="false">
      <c r="A401" s="7" t="s">
        <v>1820</v>
      </c>
      <c r="B401" s="12"/>
      <c r="C401" s="8" t="s">
        <v>54</v>
      </c>
      <c r="D401" s="8"/>
      <c r="E401" s="8"/>
      <c r="F401" s="8"/>
      <c r="G401" s="8" t="str">
        <f aca="true">IF(F401="","",ROUND((IF(H401="",TODAY(),H401)-F401)/7,1))</f>
        <v/>
      </c>
      <c r="H401" s="8"/>
      <c r="I401" s="8"/>
      <c r="J401" s="8"/>
      <c r="K401" s="13" t="str">
        <f aca="false">IFERROR(VLOOKUP(B401,colony!$A:$T,16,FALSE()),"")</f>
        <v/>
      </c>
    </row>
  </sheetData>
  <dataValidations count="4">
    <dataValidation allowBlank="true" errorStyle="stop" operator="between" showDropDown="false" showErrorMessage="false" showInputMessage="false" sqref="B2:B900" type="list">
      <formula1>colony!$A$2:$A$3000</formula1>
      <formula2>0</formula2>
    </dataValidation>
    <dataValidation allowBlank="true" errorStyle="stop" operator="between" showDropDown="false" showErrorMessage="false" showInputMessage="false" sqref="C2:C900" type="list">
      <formula1>vocab!$I$2:$I$3</formula1>
      <formula2>0</formula2>
    </dataValidation>
    <dataValidation allowBlank="true" errorStyle="stop" operator="between" showDropDown="false" showErrorMessage="false" showInputMessage="false" sqref="D2:D900" type="list">
      <formula1>vocab!$A$2:$A$4</formula1>
      <formula2>0</formula2>
    </dataValidation>
    <dataValidation allowBlank="true" errorStyle="stop" operator="between" showDropDown="false" showErrorMessage="false" showInputMessage="false" sqref="I2:I401" type="list">
      <formula1>vocab!$N$2:$N$5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24" hidden="false" customHeight="true" outlineLevel="0" collapsed="false">
      <c r="A1" s="6" t="s">
        <v>1172</v>
      </c>
      <c r="B1" s="6" t="s">
        <v>1164</v>
      </c>
      <c r="C1" s="6" t="s">
        <v>1821</v>
      </c>
      <c r="D1" s="6" t="s">
        <v>23</v>
      </c>
      <c r="E1" s="6" t="s">
        <v>22</v>
      </c>
      <c r="F1" s="6" t="s">
        <v>103</v>
      </c>
    </row>
  </sheetData>
  <dataValidations count="4">
    <dataValidation allowBlank="true" errorStyle="stop" operator="between" showDropDown="false" showErrorMessage="false" showInputMessage="false" sqref="A2:A900" type="list">
      <formula1>animals!$A$2:$A$600</formula1>
      <formula2>0</formula2>
    </dataValidation>
    <dataValidation allowBlank="true" errorStyle="stop" operator="between" showDropDown="false" showErrorMessage="false" showInputMessage="false" sqref="B2:B900" type="list">
      <formula1>projects!$A$2:$A$50</formula1>
      <formula2>0</formula2>
    </dataValidation>
    <dataValidation allowBlank="true" errorStyle="stop" operator="between" showDropDown="false" showErrorMessage="false" showInputMessage="false" sqref="D2:D900" type="list">
      <formula1>vocab!$F$2:$F$5</formula1>
      <formula2>0</formula2>
    </dataValidation>
    <dataValidation allowBlank="true" errorStyle="stop" operator="between" showDropDown="false" showErrorMessage="false" showInputMessage="false" sqref="E2:E900" type="list">
      <formula1>vocab!$E$2:$E$5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6" min="14" style="0" width="7"/>
    <col collapsed="false" customWidth="true" hidden="false" outlineLevel="0" max="17" min="17" style="0" width="9"/>
    <col collapsed="false" customWidth="true" hidden="false" outlineLevel="0" max="18" min="18" style="0" width="14"/>
    <col collapsed="false" customWidth="true" hidden="false" outlineLevel="0" max="19" min="19" style="0" width="16"/>
  </cols>
  <sheetData>
    <row r="1" customFormat="false" ht="24" hidden="false" customHeight="true" outlineLevel="0" collapsed="false">
      <c r="A1" s="6" t="s">
        <v>1822</v>
      </c>
      <c r="B1" s="6" t="s">
        <v>1172</v>
      </c>
      <c r="C1" s="6" t="s">
        <v>27</v>
      </c>
      <c r="D1" s="6" t="s">
        <v>1823</v>
      </c>
      <c r="E1" s="6" t="s">
        <v>1824</v>
      </c>
      <c r="F1" s="6" t="s">
        <v>1825</v>
      </c>
      <c r="G1" s="6" t="s">
        <v>32</v>
      </c>
      <c r="H1" s="6" t="s">
        <v>29</v>
      </c>
      <c r="I1" s="6" t="s">
        <v>1826</v>
      </c>
      <c r="J1" s="6" t="s">
        <v>1827</v>
      </c>
      <c r="K1" s="6" t="s">
        <v>28</v>
      </c>
      <c r="L1" s="6" t="s">
        <v>1828</v>
      </c>
      <c r="M1" s="6" t="s">
        <v>1829</v>
      </c>
      <c r="N1" s="6" t="s">
        <v>1830</v>
      </c>
      <c r="O1" s="6" t="s">
        <v>1831</v>
      </c>
      <c r="P1" s="6" t="s">
        <v>1832</v>
      </c>
      <c r="Q1" s="6" t="s">
        <v>1833</v>
      </c>
      <c r="R1" s="6" t="s">
        <v>1834</v>
      </c>
      <c r="S1" s="6" t="s">
        <v>103</v>
      </c>
    </row>
    <row r="2" customFormat="false" ht="15" hidden="false" customHeight="false" outlineLevel="0" collapsed="false">
      <c r="A2" s="7" t="s">
        <v>1835</v>
      </c>
      <c r="B2" s="8" t="s">
        <v>1177</v>
      </c>
      <c r="C2" s="8" t="s">
        <v>41</v>
      </c>
      <c r="D2" s="9" t="n">
        <v>44720</v>
      </c>
      <c r="E2" s="8"/>
      <c r="F2" s="8"/>
      <c r="G2" s="8" t="s">
        <v>11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1" t="s">
        <v>1836</v>
      </c>
    </row>
    <row r="3" customFormat="false" ht="15" hidden="false" customHeight="false" outlineLevel="0" collapsed="false">
      <c r="A3" s="7" t="s">
        <v>1837</v>
      </c>
      <c r="B3" s="8" t="s">
        <v>1179</v>
      </c>
      <c r="C3" s="8" t="s">
        <v>41</v>
      </c>
      <c r="D3" s="9" t="n">
        <v>44721</v>
      </c>
      <c r="E3" s="8"/>
      <c r="F3" s="8"/>
      <c r="G3" s="8" t="s">
        <v>11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1" t="s">
        <v>1836</v>
      </c>
    </row>
    <row r="4" customFormat="false" ht="15" hidden="false" customHeight="false" outlineLevel="0" collapsed="false">
      <c r="A4" s="7" t="s">
        <v>1838</v>
      </c>
      <c r="B4" s="8" t="s">
        <v>1181</v>
      </c>
      <c r="C4" s="8" t="s">
        <v>81</v>
      </c>
      <c r="D4" s="9" t="n">
        <v>44876</v>
      </c>
      <c r="E4" s="8"/>
      <c r="F4" s="8"/>
      <c r="G4" s="8" t="s">
        <v>11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 t="s">
        <v>1839</v>
      </c>
    </row>
    <row r="5" customFormat="false" ht="15" hidden="false" customHeight="false" outlineLevel="0" collapsed="false">
      <c r="A5" s="7" t="s">
        <v>1840</v>
      </c>
      <c r="B5" s="8" t="s">
        <v>1183</v>
      </c>
      <c r="C5" s="8" t="s">
        <v>85</v>
      </c>
      <c r="D5" s="9" t="n">
        <v>44882</v>
      </c>
      <c r="E5" s="8"/>
      <c r="F5" s="8"/>
      <c r="G5" s="8" t="s">
        <v>11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 t="s">
        <v>1841</v>
      </c>
    </row>
    <row r="6" customFormat="false" ht="15" hidden="false" customHeight="false" outlineLevel="0" collapsed="false">
      <c r="A6" s="7" t="s">
        <v>1842</v>
      </c>
      <c r="B6" s="8" t="s">
        <v>1183</v>
      </c>
      <c r="C6" s="8" t="s">
        <v>41</v>
      </c>
      <c r="D6" s="9" t="n">
        <v>44882</v>
      </c>
      <c r="E6" s="8"/>
      <c r="F6" s="8"/>
      <c r="G6" s="8" t="s">
        <v>11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1" t="s">
        <v>1836</v>
      </c>
    </row>
    <row r="7" customFormat="false" ht="15" hidden="false" customHeight="false" outlineLevel="0" collapsed="false">
      <c r="A7" s="7" t="s">
        <v>1843</v>
      </c>
      <c r="B7" s="8" t="s">
        <v>1185</v>
      </c>
      <c r="C7" s="8" t="s">
        <v>85</v>
      </c>
      <c r="D7" s="9" t="n">
        <v>44886</v>
      </c>
      <c r="E7" s="8"/>
      <c r="F7" s="8"/>
      <c r="G7" s="8" t="s">
        <v>11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 t="s">
        <v>1841</v>
      </c>
    </row>
    <row r="8" customFormat="false" ht="15" hidden="false" customHeight="false" outlineLevel="0" collapsed="false">
      <c r="A8" s="7" t="s">
        <v>1844</v>
      </c>
      <c r="B8" s="8" t="s">
        <v>1185</v>
      </c>
      <c r="C8" s="8" t="s">
        <v>41</v>
      </c>
      <c r="D8" s="9" t="n">
        <v>44886</v>
      </c>
      <c r="E8" s="8"/>
      <c r="F8" s="8"/>
      <c r="G8" s="8" t="s">
        <v>11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" t="s">
        <v>1836</v>
      </c>
    </row>
    <row r="9" customFormat="false" ht="15" hidden="false" customHeight="false" outlineLevel="0" collapsed="false">
      <c r="A9" s="7" t="s">
        <v>1845</v>
      </c>
      <c r="B9" s="8" t="s">
        <v>1187</v>
      </c>
      <c r="C9" s="8" t="s">
        <v>85</v>
      </c>
      <c r="D9" s="9" t="n">
        <v>44886</v>
      </c>
      <c r="E9" s="8"/>
      <c r="F9" s="8"/>
      <c r="G9" s="8" t="s">
        <v>11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 t="s">
        <v>1841</v>
      </c>
    </row>
    <row r="10" customFormat="false" ht="15" hidden="false" customHeight="false" outlineLevel="0" collapsed="false">
      <c r="A10" s="7" t="s">
        <v>1846</v>
      </c>
      <c r="B10" s="8" t="s">
        <v>1187</v>
      </c>
      <c r="C10" s="8" t="s">
        <v>41</v>
      </c>
      <c r="D10" s="9" t="n">
        <v>44886</v>
      </c>
      <c r="E10" s="8"/>
      <c r="F10" s="8"/>
      <c r="G10" s="8" t="s">
        <v>11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" t="s">
        <v>1836</v>
      </c>
    </row>
    <row r="11" customFormat="false" ht="15" hidden="false" customHeight="false" outlineLevel="0" collapsed="false">
      <c r="A11" s="7" t="s">
        <v>1847</v>
      </c>
      <c r="B11" s="8" t="s">
        <v>1189</v>
      </c>
      <c r="C11" s="8" t="s">
        <v>85</v>
      </c>
      <c r="D11" s="9" t="n">
        <v>44890</v>
      </c>
      <c r="E11" s="8"/>
      <c r="F11" s="8"/>
      <c r="G11" s="8" t="s">
        <v>11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1841</v>
      </c>
    </row>
    <row r="12" customFormat="false" ht="15" hidden="false" customHeight="false" outlineLevel="0" collapsed="false">
      <c r="A12" s="7" t="s">
        <v>1848</v>
      </c>
      <c r="B12" s="8" t="s">
        <v>1189</v>
      </c>
      <c r="C12" s="8" t="s">
        <v>41</v>
      </c>
      <c r="D12" s="9" t="n">
        <v>44890</v>
      </c>
      <c r="E12" s="8"/>
      <c r="F12" s="8"/>
      <c r="G12" s="8" t="s">
        <v>11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1" t="s">
        <v>1836</v>
      </c>
    </row>
    <row r="13" customFormat="false" ht="15" hidden="false" customHeight="false" outlineLevel="0" collapsed="false">
      <c r="A13" s="7" t="s">
        <v>1849</v>
      </c>
      <c r="B13" s="8" t="s">
        <v>1191</v>
      </c>
      <c r="C13" s="8" t="s">
        <v>85</v>
      </c>
      <c r="D13" s="9" t="n">
        <v>44890</v>
      </c>
      <c r="E13" s="8"/>
      <c r="F13" s="8"/>
      <c r="G13" s="8" t="s">
        <v>11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 t="s">
        <v>1841</v>
      </c>
    </row>
    <row r="14" customFormat="false" ht="15" hidden="false" customHeight="false" outlineLevel="0" collapsed="false">
      <c r="A14" s="7" t="s">
        <v>1850</v>
      </c>
      <c r="B14" s="8" t="s">
        <v>1191</v>
      </c>
      <c r="C14" s="8" t="s">
        <v>41</v>
      </c>
      <c r="D14" s="9" t="n">
        <v>44890</v>
      </c>
      <c r="E14" s="8"/>
      <c r="F14" s="8"/>
      <c r="G14" s="8" t="s">
        <v>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 t="s">
        <v>1836</v>
      </c>
    </row>
    <row r="15" customFormat="false" ht="15" hidden="false" customHeight="false" outlineLevel="0" collapsed="false">
      <c r="A15" s="7" t="s">
        <v>1851</v>
      </c>
      <c r="B15" s="8" t="s">
        <v>1193</v>
      </c>
      <c r="C15" s="8" t="s">
        <v>81</v>
      </c>
      <c r="D15" s="9" t="n">
        <v>44901</v>
      </c>
      <c r="E15" s="8"/>
      <c r="F15" s="8"/>
      <c r="G15" s="8" t="s">
        <v>11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 t="s">
        <v>1839</v>
      </c>
    </row>
    <row r="16" customFormat="false" ht="15" hidden="false" customHeight="false" outlineLevel="0" collapsed="false">
      <c r="A16" s="7" t="s">
        <v>1852</v>
      </c>
      <c r="B16" s="8" t="s">
        <v>1195</v>
      </c>
      <c r="C16" s="8" t="s">
        <v>85</v>
      </c>
      <c r="D16" s="9" t="n">
        <v>44939</v>
      </c>
      <c r="E16" s="8"/>
      <c r="F16" s="8"/>
      <c r="G16" s="8" t="s">
        <v>11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 t="s">
        <v>1841</v>
      </c>
    </row>
    <row r="17" customFormat="false" ht="15" hidden="false" customHeight="false" outlineLevel="0" collapsed="false">
      <c r="A17" s="7" t="s">
        <v>1853</v>
      </c>
      <c r="B17" s="8" t="s">
        <v>1195</v>
      </c>
      <c r="C17" s="8" t="s">
        <v>41</v>
      </c>
      <c r="D17" s="9" t="n">
        <v>44939</v>
      </c>
      <c r="E17" s="8"/>
      <c r="F17" s="8"/>
      <c r="G17" s="8" t="s">
        <v>11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 t="s">
        <v>1854</v>
      </c>
    </row>
    <row r="18" customFormat="false" ht="15" hidden="false" customHeight="false" outlineLevel="0" collapsed="false">
      <c r="A18" s="7" t="s">
        <v>1855</v>
      </c>
      <c r="B18" s="8" t="s">
        <v>1197</v>
      </c>
      <c r="C18" s="8" t="s">
        <v>89</v>
      </c>
      <c r="D18" s="9" t="n">
        <v>45236</v>
      </c>
      <c r="E18" s="8"/>
      <c r="F18" s="8"/>
      <c r="G18" s="8" t="s">
        <v>11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 t="s">
        <v>1856</v>
      </c>
    </row>
    <row r="19" customFormat="false" ht="15" hidden="false" customHeight="false" outlineLevel="0" collapsed="false">
      <c r="A19" s="7" t="s">
        <v>1857</v>
      </c>
      <c r="B19" s="8" t="s">
        <v>1199</v>
      </c>
      <c r="C19" s="8" t="s">
        <v>89</v>
      </c>
      <c r="D19" s="9" t="n">
        <v>45237</v>
      </c>
      <c r="E19" s="8"/>
      <c r="F19" s="8"/>
      <c r="G19" s="8" t="s">
        <v>11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 t="s">
        <v>1856</v>
      </c>
    </row>
    <row r="20" customFormat="false" ht="15" hidden="false" customHeight="false" outlineLevel="0" collapsed="false">
      <c r="A20" s="7" t="s">
        <v>1858</v>
      </c>
      <c r="B20" s="8" t="s">
        <v>1200</v>
      </c>
      <c r="C20" s="8" t="s">
        <v>41</v>
      </c>
      <c r="D20" s="9" t="n">
        <v>45239</v>
      </c>
      <c r="E20" s="8"/>
      <c r="F20" s="8"/>
      <c r="G20" s="8" t="s">
        <v>11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 t="s">
        <v>1859</v>
      </c>
    </row>
    <row r="21" customFormat="false" ht="15" hidden="false" customHeight="false" outlineLevel="0" collapsed="false">
      <c r="A21" s="7" t="s">
        <v>1860</v>
      </c>
      <c r="B21" s="8" t="s">
        <v>1201</v>
      </c>
      <c r="C21" s="8" t="s">
        <v>89</v>
      </c>
      <c r="D21" s="9" t="n">
        <v>45243</v>
      </c>
      <c r="E21" s="8"/>
      <c r="F21" s="8"/>
      <c r="G21" s="8" t="s">
        <v>11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 t="s">
        <v>1856</v>
      </c>
    </row>
    <row r="22" customFormat="false" ht="15" hidden="false" customHeight="false" outlineLevel="0" collapsed="false">
      <c r="A22" s="7" t="s">
        <v>1861</v>
      </c>
      <c r="B22" s="8" t="s">
        <v>1202</v>
      </c>
      <c r="C22" s="8" t="s">
        <v>89</v>
      </c>
      <c r="D22" s="9" t="n">
        <v>45243</v>
      </c>
      <c r="E22" s="8"/>
      <c r="F22" s="8"/>
      <c r="G22" s="8" t="s">
        <v>11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 t="s">
        <v>1856</v>
      </c>
    </row>
    <row r="23" customFormat="false" ht="15" hidden="false" customHeight="false" outlineLevel="0" collapsed="false">
      <c r="A23" s="7" t="s">
        <v>1862</v>
      </c>
      <c r="B23" s="8" t="s">
        <v>1203</v>
      </c>
      <c r="C23" s="8" t="s">
        <v>89</v>
      </c>
      <c r="D23" s="9" t="n">
        <v>45243</v>
      </c>
      <c r="E23" s="8"/>
      <c r="F23" s="8"/>
      <c r="G23" s="8" t="s">
        <v>11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 t="s">
        <v>1856</v>
      </c>
    </row>
    <row r="24" customFormat="false" ht="15" hidden="false" customHeight="false" outlineLevel="0" collapsed="false">
      <c r="A24" s="7" t="s">
        <v>1863</v>
      </c>
      <c r="B24" s="8" t="s">
        <v>1204</v>
      </c>
      <c r="C24" s="8" t="s">
        <v>89</v>
      </c>
      <c r="D24" s="9" t="n">
        <v>45244</v>
      </c>
      <c r="E24" s="8"/>
      <c r="F24" s="8"/>
      <c r="G24" s="8" t="s">
        <v>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 t="s">
        <v>1856</v>
      </c>
    </row>
    <row r="25" customFormat="false" ht="15" hidden="false" customHeight="false" outlineLevel="0" collapsed="false">
      <c r="A25" s="7" t="s">
        <v>1864</v>
      </c>
      <c r="B25" s="8" t="s">
        <v>1205</v>
      </c>
      <c r="C25" s="8" t="s">
        <v>89</v>
      </c>
      <c r="D25" s="9" t="n">
        <v>45244</v>
      </c>
      <c r="E25" s="8"/>
      <c r="F25" s="8"/>
      <c r="G25" s="8" t="s">
        <v>11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 t="s">
        <v>1856</v>
      </c>
    </row>
    <row r="26" customFormat="false" ht="15" hidden="false" customHeight="false" outlineLevel="0" collapsed="false">
      <c r="A26" s="7" t="s">
        <v>1865</v>
      </c>
      <c r="B26" s="8" t="s">
        <v>1206</v>
      </c>
      <c r="C26" s="8" t="s">
        <v>91</v>
      </c>
      <c r="D26" s="9" t="n">
        <v>45246</v>
      </c>
      <c r="E26" s="8"/>
      <c r="F26" s="8"/>
      <c r="G26" s="8" t="s">
        <v>11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 t="s">
        <v>1866</v>
      </c>
    </row>
    <row r="27" customFormat="false" ht="15" hidden="false" customHeight="false" outlineLevel="0" collapsed="false">
      <c r="A27" s="7" t="s">
        <v>1867</v>
      </c>
      <c r="B27" s="8" t="s">
        <v>1207</v>
      </c>
      <c r="C27" s="8" t="s">
        <v>41</v>
      </c>
      <c r="D27" s="9" t="n">
        <v>45257</v>
      </c>
      <c r="E27" s="8"/>
      <c r="F27" s="8"/>
      <c r="G27" s="8" t="s">
        <v>11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 t="s">
        <v>1859</v>
      </c>
    </row>
    <row r="28" customFormat="false" ht="15" hidden="false" customHeight="false" outlineLevel="0" collapsed="false">
      <c r="A28" s="7" t="s">
        <v>1868</v>
      </c>
      <c r="B28" s="8" t="s">
        <v>1208</v>
      </c>
      <c r="C28" s="8" t="s">
        <v>41</v>
      </c>
      <c r="D28" s="9" t="n">
        <v>45266</v>
      </c>
      <c r="E28" s="8"/>
      <c r="F28" s="8"/>
      <c r="G28" s="8" t="s">
        <v>11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s">
        <v>1859</v>
      </c>
    </row>
    <row r="29" customFormat="false" ht="15" hidden="false" customHeight="false" outlineLevel="0" collapsed="false">
      <c r="A29" s="7" t="s">
        <v>1869</v>
      </c>
      <c r="B29" s="8" t="s">
        <v>1209</v>
      </c>
      <c r="C29" s="8" t="s">
        <v>81</v>
      </c>
      <c r="D29" s="9" t="n">
        <v>45268</v>
      </c>
      <c r="E29" s="8"/>
      <c r="F29" s="8"/>
      <c r="G29" s="8" t="s">
        <v>11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 t="s">
        <v>1870</v>
      </c>
    </row>
    <row r="30" customFormat="false" ht="15" hidden="false" customHeight="false" outlineLevel="0" collapsed="false">
      <c r="A30" s="7" t="s">
        <v>1871</v>
      </c>
      <c r="B30" s="8" t="s">
        <v>1210</v>
      </c>
      <c r="C30" s="8" t="s">
        <v>41</v>
      </c>
      <c r="D30" s="9" t="n">
        <v>45272</v>
      </c>
      <c r="E30" s="8"/>
      <c r="F30" s="8"/>
      <c r="G30" s="8" t="s">
        <v>11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s">
        <v>1859</v>
      </c>
    </row>
    <row r="31" customFormat="false" ht="15" hidden="false" customHeight="false" outlineLevel="0" collapsed="false">
      <c r="A31" s="7" t="s">
        <v>1872</v>
      </c>
      <c r="B31" s="8" t="s">
        <v>1211</v>
      </c>
      <c r="C31" s="8" t="s">
        <v>85</v>
      </c>
      <c r="D31" s="9" t="n">
        <v>45278</v>
      </c>
      <c r="E31" s="8"/>
      <c r="F31" s="8"/>
      <c r="G31" s="8" t="s">
        <v>11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 t="s">
        <v>1841</v>
      </c>
    </row>
    <row r="32" customFormat="false" ht="15" hidden="false" customHeight="false" outlineLevel="0" collapsed="false">
      <c r="A32" s="7" t="s">
        <v>1873</v>
      </c>
      <c r="B32" s="8" t="s">
        <v>1211</v>
      </c>
      <c r="C32" s="8" t="s">
        <v>41</v>
      </c>
      <c r="D32" s="9" t="n">
        <v>45278</v>
      </c>
      <c r="E32" s="8"/>
      <c r="F32" s="8"/>
      <c r="G32" s="8" t="s">
        <v>11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1" t="s">
        <v>1836</v>
      </c>
    </row>
    <row r="33" customFormat="false" ht="15" hidden="false" customHeight="false" outlineLevel="0" collapsed="false">
      <c r="A33" s="7" t="s">
        <v>1874</v>
      </c>
      <c r="B33" s="8" t="s">
        <v>1212</v>
      </c>
      <c r="C33" s="8" t="s">
        <v>85</v>
      </c>
      <c r="D33" s="9" t="n">
        <v>45289</v>
      </c>
      <c r="E33" s="8"/>
      <c r="F33" s="8"/>
      <c r="G33" s="8" t="s">
        <v>11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 t="s">
        <v>1841</v>
      </c>
    </row>
    <row r="34" customFormat="false" ht="15" hidden="false" customHeight="false" outlineLevel="0" collapsed="false">
      <c r="A34" s="7" t="s">
        <v>1875</v>
      </c>
      <c r="B34" s="8" t="s">
        <v>1212</v>
      </c>
      <c r="C34" s="8" t="s">
        <v>41</v>
      </c>
      <c r="D34" s="9" t="n">
        <v>45289</v>
      </c>
      <c r="E34" s="8"/>
      <c r="F34" s="8"/>
      <c r="G34" s="8" t="s">
        <v>11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1" t="s">
        <v>1836</v>
      </c>
    </row>
    <row r="35" customFormat="false" ht="15" hidden="false" customHeight="false" outlineLevel="0" collapsed="false">
      <c r="A35" s="7" t="s">
        <v>1876</v>
      </c>
      <c r="B35" s="8" t="s">
        <v>1213</v>
      </c>
      <c r="C35" s="8" t="s">
        <v>41</v>
      </c>
      <c r="D35" s="9" t="n">
        <v>45301</v>
      </c>
      <c r="E35" s="8"/>
      <c r="F35" s="8"/>
      <c r="G35" s="8" t="s">
        <v>11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1859</v>
      </c>
    </row>
    <row r="36" customFormat="false" ht="15" hidden="false" customHeight="false" outlineLevel="0" collapsed="false">
      <c r="A36" s="7" t="s">
        <v>1877</v>
      </c>
      <c r="B36" s="8" t="s">
        <v>1214</v>
      </c>
      <c r="C36" s="8" t="s">
        <v>41</v>
      </c>
      <c r="D36" s="9" t="n">
        <v>45302</v>
      </c>
      <c r="E36" s="8"/>
      <c r="F36" s="8"/>
      <c r="G36" s="8" t="s">
        <v>11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 t="s">
        <v>1859</v>
      </c>
    </row>
    <row r="37" customFormat="false" ht="15" hidden="false" customHeight="false" outlineLevel="0" collapsed="false">
      <c r="A37" s="7" t="s">
        <v>1878</v>
      </c>
      <c r="B37" s="8" t="s">
        <v>1215</v>
      </c>
      <c r="C37" s="8" t="s">
        <v>85</v>
      </c>
      <c r="D37" s="9" t="n">
        <v>45307</v>
      </c>
      <c r="E37" s="8"/>
      <c r="F37" s="8"/>
      <c r="G37" s="8" t="s">
        <v>11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 t="s">
        <v>1841</v>
      </c>
    </row>
    <row r="38" customFormat="false" ht="15" hidden="false" customHeight="false" outlineLevel="0" collapsed="false">
      <c r="A38" s="7" t="s">
        <v>1879</v>
      </c>
      <c r="B38" s="8" t="s">
        <v>1215</v>
      </c>
      <c r="C38" s="8" t="s">
        <v>41</v>
      </c>
      <c r="D38" s="9" t="n">
        <v>45307</v>
      </c>
      <c r="E38" s="8"/>
      <c r="F38" s="8"/>
      <c r="G38" s="8" t="s">
        <v>11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s">
        <v>1854</v>
      </c>
    </row>
    <row r="39" customFormat="false" ht="15" hidden="false" customHeight="false" outlineLevel="0" collapsed="false">
      <c r="A39" s="7" t="s">
        <v>1880</v>
      </c>
      <c r="B39" s="8" t="s">
        <v>1216</v>
      </c>
      <c r="C39" s="8" t="s">
        <v>85</v>
      </c>
      <c r="D39" s="9" t="n">
        <v>45310</v>
      </c>
      <c r="E39" s="8"/>
      <c r="F39" s="8"/>
      <c r="G39" s="8" t="s">
        <v>11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 t="s">
        <v>1841</v>
      </c>
    </row>
    <row r="40" customFormat="false" ht="15" hidden="false" customHeight="false" outlineLevel="0" collapsed="false">
      <c r="A40" s="7" t="s">
        <v>1881</v>
      </c>
      <c r="B40" s="8" t="s">
        <v>1216</v>
      </c>
      <c r="C40" s="8" t="s">
        <v>41</v>
      </c>
      <c r="D40" s="9" t="n">
        <v>45310</v>
      </c>
      <c r="E40" s="8"/>
      <c r="F40" s="8"/>
      <c r="G40" s="8" t="s">
        <v>11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s">
        <v>1854</v>
      </c>
    </row>
    <row r="41" customFormat="false" ht="15" hidden="false" customHeight="false" outlineLevel="0" collapsed="false">
      <c r="A41" s="7" t="s">
        <v>1882</v>
      </c>
      <c r="B41" s="8" t="s">
        <v>1217</v>
      </c>
      <c r="C41" s="8" t="s">
        <v>85</v>
      </c>
      <c r="D41" s="9" t="n">
        <v>45314</v>
      </c>
      <c r="E41" s="8"/>
      <c r="F41" s="8"/>
      <c r="G41" s="8" t="s">
        <v>11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 t="s">
        <v>1841</v>
      </c>
    </row>
    <row r="42" customFormat="false" ht="15" hidden="false" customHeight="false" outlineLevel="0" collapsed="false">
      <c r="A42" s="7" t="s">
        <v>1883</v>
      </c>
      <c r="B42" s="8" t="s">
        <v>1217</v>
      </c>
      <c r="C42" s="8" t="s">
        <v>41</v>
      </c>
      <c r="D42" s="9" t="n">
        <v>45314</v>
      </c>
      <c r="E42" s="8"/>
      <c r="F42" s="8"/>
      <c r="G42" s="8" t="s">
        <v>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1854</v>
      </c>
    </row>
    <row r="43" customFormat="false" ht="15" hidden="false" customHeight="false" outlineLevel="0" collapsed="false">
      <c r="A43" s="7" t="s">
        <v>1884</v>
      </c>
      <c r="B43" s="8" t="s">
        <v>1219</v>
      </c>
      <c r="C43" s="8" t="s">
        <v>89</v>
      </c>
      <c r="D43" s="9" t="n">
        <v>45321</v>
      </c>
      <c r="E43" s="8"/>
      <c r="F43" s="8"/>
      <c r="G43" s="8" t="s">
        <v>11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1856</v>
      </c>
    </row>
    <row r="44" customFormat="false" ht="15" hidden="false" customHeight="false" outlineLevel="0" collapsed="false">
      <c r="A44" s="7" t="s">
        <v>1885</v>
      </c>
      <c r="B44" s="8" t="s">
        <v>1219</v>
      </c>
      <c r="C44" s="8" t="s">
        <v>41</v>
      </c>
      <c r="D44" s="9" t="n">
        <v>45321</v>
      </c>
      <c r="E44" s="8"/>
      <c r="F44" s="8"/>
      <c r="G44" s="8" t="s">
        <v>11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1" t="s">
        <v>1836</v>
      </c>
    </row>
    <row r="45" customFormat="false" ht="15" hidden="false" customHeight="false" outlineLevel="0" collapsed="false">
      <c r="A45" s="7" t="s">
        <v>1886</v>
      </c>
      <c r="B45" s="8" t="s">
        <v>1220</v>
      </c>
      <c r="C45" s="8" t="s">
        <v>89</v>
      </c>
      <c r="D45" s="9" t="n">
        <v>45329</v>
      </c>
      <c r="E45" s="8"/>
      <c r="F45" s="8"/>
      <c r="G45" s="8" t="s">
        <v>11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1856</v>
      </c>
    </row>
    <row r="46" customFormat="false" ht="15" hidden="false" customHeight="false" outlineLevel="0" collapsed="false">
      <c r="A46" s="7" t="s">
        <v>1887</v>
      </c>
      <c r="B46" s="8" t="s">
        <v>1220</v>
      </c>
      <c r="C46" s="8" t="s">
        <v>41</v>
      </c>
      <c r="D46" s="9" t="n">
        <v>45329</v>
      </c>
      <c r="E46" s="8"/>
      <c r="F46" s="8"/>
      <c r="G46" s="8" t="s">
        <v>11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1" t="s">
        <v>1836</v>
      </c>
    </row>
    <row r="47" customFormat="false" ht="15" hidden="false" customHeight="false" outlineLevel="0" collapsed="false">
      <c r="A47" s="7" t="s">
        <v>1888</v>
      </c>
      <c r="B47" s="8" t="s">
        <v>1221</v>
      </c>
      <c r="C47" s="8" t="s">
        <v>89</v>
      </c>
      <c r="D47" s="9" t="n">
        <v>45329</v>
      </c>
      <c r="E47" s="8"/>
      <c r="F47" s="8"/>
      <c r="G47" s="8" t="s">
        <v>11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 t="s">
        <v>1856</v>
      </c>
    </row>
    <row r="48" customFormat="false" ht="15" hidden="false" customHeight="false" outlineLevel="0" collapsed="false">
      <c r="A48" s="7" t="s">
        <v>1889</v>
      </c>
      <c r="B48" s="8" t="s">
        <v>1221</v>
      </c>
      <c r="C48" s="8" t="s">
        <v>41</v>
      </c>
      <c r="D48" s="9" t="n">
        <v>45329</v>
      </c>
      <c r="E48" s="8"/>
      <c r="F48" s="8"/>
      <c r="G48" s="8" t="s">
        <v>11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1" t="s">
        <v>1836</v>
      </c>
    </row>
    <row r="49" customFormat="false" ht="15" hidden="false" customHeight="false" outlineLevel="0" collapsed="false">
      <c r="A49" s="7" t="s">
        <v>1890</v>
      </c>
      <c r="B49" s="8" t="s">
        <v>1222</v>
      </c>
      <c r="C49" s="8" t="s">
        <v>89</v>
      </c>
      <c r="D49" s="9" t="n">
        <v>45329</v>
      </c>
      <c r="E49" s="8"/>
      <c r="F49" s="8"/>
      <c r="G49" s="8" t="s">
        <v>11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 t="s">
        <v>1856</v>
      </c>
    </row>
    <row r="50" customFormat="false" ht="15" hidden="false" customHeight="false" outlineLevel="0" collapsed="false">
      <c r="A50" s="7" t="s">
        <v>1891</v>
      </c>
      <c r="B50" s="8" t="s">
        <v>1222</v>
      </c>
      <c r="C50" s="8" t="s">
        <v>41</v>
      </c>
      <c r="D50" s="9" t="n">
        <v>45329</v>
      </c>
      <c r="E50" s="8"/>
      <c r="F50" s="8"/>
      <c r="G50" s="8" t="s">
        <v>11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1" t="s">
        <v>1836</v>
      </c>
    </row>
    <row r="51" customFormat="false" ht="15" hidden="false" customHeight="false" outlineLevel="0" collapsed="false">
      <c r="A51" s="7" t="s">
        <v>1892</v>
      </c>
      <c r="B51" s="8" t="s">
        <v>1223</v>
      </c>
      <c r="C51" s="8" t="s">
        <v>89</v>
      </c>
      <c r="D51" s="9" t="n">
        <v>45329</v>
      </c>
      <c r="E51" s="8"/>
      <c r="F51" s="8"/>
      <c r="G51" s="8" t="s">
        <v>11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 t="s">
        <v>1856</v>
      </c>
    </row>
    <row r="52" customFormat="false" ht="15" hidden="false" customHeight="false" outlineLevel="0" collapsed="false">
      <c r="A52" s="7" t="s">
        <v>1893</v>
      </c>
      <c r="B52" s="8" t="s">
        <v>1223</v>
      </c>
      <c r="C52" s="8" t="s">
        <v>41</v>
      </c>
      <c r="D52" s="9" t="n">
        <v>45329</v>
      </c>
      <c r="E52" s="8"/>
      <c r="F52" s="8"/>
      <c r="G52" s="8" t="s">
        <v>11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1" t="s">
        <v>1836</v>
      </c>
    </row>
    <row r="53" customFormat="false" ht="15" hidden="false" customHeight="false" outlineLevel="0" collapsed="false">
      <c r="A53" s="7" t="s">
        <v>1894</v>
      </c>
      <c r="B53" s="8" t="s">
        <v>1224</v>
      </c>
      <c r="C53" s="8" t="s">
        <v>89</v>
      </c>
      <c r="D53" s="9" t="n">
        <v>45330</v>
      </c>
      <c r="E53" s="8"/>
      <c r="F53" s="8"/>
      <c r="G53" s="8" t="s">
        <v>11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 t="s">
        <v>1856</v>
      </c>
    </row>
    <row r="54" customFormat="false" ht="15" hidden="false" customHeight="false" outlineLevel="0" collapsed="false">
      <c r="A54" s="7" t="s">
        <v>1895</v>
      </c>
      <c r="B54" s="8" t="s">
        <v>1224</v>
      </c>
      <c r="C54" s="8" t="s">
        <v>41</v>
      </c>
      <c r="D54" s="9" t="n">
        <v>45330</v>
      </c>
      <c r="E54" s="8"/>
      <c r="F54" s="8"/>
      <c r="G54" s="8" t="s">
        <v>11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1" t="s">
        <v>1836</v>
      </c>
    </row>
    <row r="55" customFormat="false" ht="15" hidden="false" customHeight="false" outlineLevel="0" collapsed="false">
      <c r="A55" s="7" t="s">
        <v>1896</v>
      </c>
      <c r="B55" s="8" t="s">
        <v>1225</v>
      </c>
      <c r="C55" s="8" t="s">
        <v>89</v>
      </c>
      <c r="D55" s="9" t="n">
        <v>45330</v>
      </c>
      <c r="E55" s="8"/>
      <c r="F55" s="8"/>
      <c r="G55" s="8" t="s">
        <v>11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 t="s">
        <v>1856</v>
      </c>
    </row>
    <row r="56" customFormat="false" ht="15" hidden="false" customHeight="false" outlineLevel="0" collapsed="false">
      <c r="A56" s="7" t="s">
        <v>1897</v>
      </c>
      <c r="B56" s="8" t="s">
        <v>1225</v>
      </c>
      <c r="C56" s="8" t="s">
        <v>41</v>
      </c>
      <c r="D56" s="9" t="n">
        <v>45330</v>
      </c>
      <c r="E56" s="8"/>
      <c r="F56" s="8"/>
      <c r="G56" s="8" t="s">
        <v>11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1" t="s">
        <v>1836</v>
      </c>
    </row>
    <row r="57" customFormat="false" ht="15" hidden="false" customHeight="false" outlineLevel="0" collapsed="false">
      <c r="A57" s="7" t="s">
        <v>1898</v>
      </c>
      <c r="B57" s="8" t="s">
        <v>1226</v>
      </c>
      <c r="C57" s="8" t="s">
        <v>89</v>
      </c>
      <c r="D57" s="9" t="n">
        <v>45330</v>
      </c>
      <c r="E57" s="8"/>
      <c r="F57" s="8"/>
      <c r="G57" s="8" t="s">
        <v>11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 t="s">
        <v>1856</v>
      </c>
    </row>
    <row r="58" customFormat="false" ht="15" hidden="false" customHeight="false" outlineLevel="0" collapsed="false">
      <c r="A58" s="7" t="s">
        <v>1899</v>
      </c>
      <c r="B58" s="8" t="s">
        <v>1226</v>
      </c>
      <c r="C58" s="8" t="s">
        <v>41</v>
      </c>
      <c r="D58" s="9" t="n">
        <v>45330</v>
      </c>
      <c r="E58" s="8"/>
      <c r="F58" s="8"/>
      <c r="G58" s="8" t="s">
        <v>11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1" t="s">
        <v>1836</v>
      </c>
    </row>
    <row r="59" customFormat="false" ht="15" hidden="false" customHeight="false" outlineLevel="0" collapsed="false">
      <c r="A59" s="7" t="s">
        <v>1900</v>
      </c>
      <c r="B59" s="8" t="s">
        <v>1227</v>
      </c>
      <c r="C59" s="8" t="s">
        <v>89</v>
      </c>
      <c r="D59" s="9" t="n">
        <v>45341</v>
      </c>
      <c r="E59" s="8"/>
      <c r="F59" s="8"/>
      <c r="G59" s="8" t="s">
        <v>11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 t="s">
        <v>1856</v>
      </c>
    </row>
    <row r="60" customFormat="false" ht="15" hidden="false" customHeight="false" outlineLevel="0" collapsed="false">
      <c r="A60" s="7" t="s">
        <v>1901</v>
      </c>
      <c r="B60" s="8" t="s">
        <v>1227</v>
      </c>
      <c r="C60" s="8" t="s">
        <v>41</v>
      </c>
      <c r="D60" s="9" t="n">
        <v>45341</v>
      </c>
      <c r="E60" s="8"/>
      <c r="F60" s="8"/>
      <c r="G60" s="8" t="s">
        <v>11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1" t="s">
        <v>1836</v>
      </c>
    </row>
    <row r="61" customFormat="false" ht="15" hidden="false" customHeight="false" outlineLevel="0" collapsed="false">
      <c r="A61" s="7" t="s">
        <v>1902</v>
      </c>
      <c r="B61" s="8" t="s">
        <v>1228</v>
      </c>
      <c r="C61" s="8" t="s">
        <v>89</v>
      </c>
      <c r="D61" s="9" t="n">
        <v>45341</v>
      </c>
      <c r="E61" s="8"/>
      <c r="F61" s="8"/>
      <c r="G61" s="8" t="s">
        <v>11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 t="s">
        <v>1856</v>
      </c>
    </row>
    <row r="62" customFormat="false" ht="15" hidden="false" customHeight="false" outlineLevel="0" collapsed="false">
      <c r="A62" s="7" t="s">
        <v>1903</v>
      </c>
      <c r="B62" s="8" t="s">
        <v>1228</v>
      </c>
      <c r="C62" s="8" t="s">
        <v>41</v>
      </c>
      <c r="D62" s="9" t="n">
        <v>45341</v>
      </c>
      <c r="E62" s="8"/>
      <c r="F62" s="8"/>
      <c r="G62" s="8" t="s">
        <v>11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1" t="s">
        <v>1836</v>
      </c>
    </row>
    <row r="63" customFormat="false" ht="15" hidden="false" customHeight="false" outlineLevel="0" collapsed="false">
      <c r="A63" s="7" t="s">
        <v>1904</v>
      </c>
      <c r="B63" s="8" t="s">
        <v>1229</v>
      </c>
      <c r="C63" s="8" t="s">
        <v>89</v>
      </c>
      <c r="D63" s="9" t="n">
        <v>45341</v>
      </c>
      <c r="E63" s="8"/>
      <c r="F63" s="8"/>
      <c r="G63" s="8" t="s">
        <v>11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 t="s">
        <v>1856</v>
      </c>
    </row>
    <row r="64" customFormat="false" ht="15" hidden="false" customHeight="false" outlineLevel="0" collapsed="false">
      <c r="A64" s="7" t="s">
        <v>1905</v>
      </c>
      <c r="B64" s="8" t="s">
        <v>1229</v>
      </c>
      <c r="C64" s="8" t="s">
        <v>41</v>
      </c>
      <c r="D64" s="9" t="n">
        <v>45341</v>
      </c>
      <c r="E64" s="8"/>
      <c r="F64" s="8"/>
      <c r="G64" s="8" t="s">
        <v>11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1" t="s">
        <v>1836</v>
      </c>
    </row>
    <row r="65" customFormat="false" ht="15" hidden="false" customHeight="false" outlineLevel="0" collapsed="false">
      <c r="A65" s="7" t="s">
        <v>1906</v>
      </c>
      <c r="B65" s="8" t="s">
        <v>1230</v>
      </c>
      <c r="C65" s="8" t="s">
        <v>89</v>
      </c>
      <c r="D65" s="9" t="n">
        <v>45341</v>
      </c>
      <c r="E65" s="8"/>
      <c r="F65" s="8"/>
      <c r="G65" s="8" t="s">
        <v>11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 t="s">
        <v>1856</v>
      </c>
    </row>
    <row r="66" customFormat="false" ht="15" hidden="false" customHeight="false" outlineLevel="0" collapsed="false">
      <c r="A66" s="7" t="s">
        <v>1907</v>
      </c>
      <c r="B66" s="8" t="s">
        <v>1230</v>
      </c>
      <c r="C66" s="8" t="s">
        <v>41</v>
      </c>
      <c r="D66" s="9" t="n">
        <v>45341</v>
      </c>
      <c r="E66" s="8"/>
      <c r="F66" s="8"/>
      <c r="G66" s="8" t="s">
        <v>11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1" t="s">
        <v>1836</v>
      </c>
    </row>
    <row r="67" customFormat="false" ht="15" hidden="false" customHeight="false" outlineLevel="0" collapsed="false">
      <c r="A67" s="7" t="s">
        <v>1908</v>
      </c>
      <c r="B67" s="8" t="s">
        <v>1231</v>
      </c>
      <c r="C67" s="8" t="s">
        <v>85</v>
      </c>
      <c r="D67" s="9" t="n">
        <v>45351</v>
      </c>
      <c r="E67" s="8"/>
      <c r="F67" s="8"/>
      <c r="G67" s="8" t="s">
        <v>11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 t="s">
        <v>1841</v>
      </c>
    </row>
    <row r="68" customFormat="false" ht="15" hidden="false" customHeight="false" outlineLevel="0" collapsed="false">
      <c r="A68" s="7" t="s">
        <v>1909</v>
      </c>
      <c r="B68" s="8" t="s">
        <v>1231</v>
      </c>
      <c r="C68" s="8" t="s">
        <v>41</v>
      </c>
      <c r="D68" s="9" t="n">
        <v>45351</v>
      </c>
      <c r="E68" s="8"/>
      <c r="F68" s="8"/>
      <c r="G68" s="8" t="s">
        <v>11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 t="s">
        <v>1854</v>
      </c>
    </row>
    <row r="69" customFormat="false" ht="15" hidden="false" customHeight="false" outlineLevel="0" collapsed="false">
      <c r="A69" s="7" t="s">
        <v>1910</v>
      </c>
      <c r="B69" s="8" t="s">
        <v>1232</v>
      </c>
      <c r="C69" s="8" t="s">
        <v>81</v>
      </c>
      <c r="D69" s="9" t="n">
        <v>45351</v>
      </c>
      <c r="E69" s="8"/>
      <c r="F69" s="8"/>
      <c r="G69" s="8" t="s">
        <v>11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 t="s">
        <v>1911</v>
      </c>
    </row>
    <row r="70" customFormat="false" ht="15" hidden="false" customHeight="false" outlineLevel="0" collapsed="false">
      <c r="A70" s="7" t="s">
        <v>1912</v>
      </c>
      <c r="B70" s="8" t="s">
        <v>1232</v>
      </c>
      <c r="C70" s="8" t="s">
        <v>41</v>
      </c>
      <c r="D70" s="9" t="n">
        <v>45351</v>
      </c>
      <c r="E70" s="8"/>
      <c r="F70" s="8"/>
      <c r="G70" s="8" t="s">
        <v>11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1" t="s">
        <v>1836</v>
      </c>
    </row>
    <row r="71" customFormat="false" ht="15" hidden="false" customHeight="false" outlineLevel="0" collapsed="false">
      <c r="A71" s="7" t="s">
        <v>1913</v>
      </c>
      <c r="B71" s="8" t="s">
        <v>1233</v>
      </c>
      <c r="C71" s="8" t="s">
        <v>85</v>
      </c>
      <c r="D71" s="9" t="n">
        <v>45355</v>
      </c>
      <c r="E71" s="8"/>
      <c r="F71" s="8"/>
      <c r="G71" s="8" t="s">
        <v>11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 t="s">
        <v>1841</v>
      </c>
    </row>
    <row r="72" customFormat="false" ht="15" hidden="false" customHeight="false" outlineLevel="0" collapsed="false">
      <c r="A72" s="7" t="s">
        <v>1914</v>
      </c>
      <c r="B72" s="8" t="s">
        <v>1233</v>
      </c>
      <c r="C72" s="8" t="s">
        <v>41</v>
      </c>
      <c r="D72" s="9" t="n">
        <v>45355</v>
      </c>
      <c r="E72" s="8"/>
      <c r="F72" s="8"/>
      <c r="G72" s="8" t="s">
        <v>11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 t="s">
        <v>1854</v>
      </c>
    </row>
    <row r="73" customFormat="false" ht="15" hidden="false" customHeight="false" outlineLevel="0" collapsed="false">
      <c r="A73" s="7" t="s">
        <v>1915</v>
      </c>
      <c r="B73" s="8" t="s">
        <v>1234</v>
      </c>
      <c r="C73" s="8" t="s">
        <v>85</v>
      </c>
      <c r="D73" s="9" t="n">
        <v>45357</v>
      </c>
      <c r="E73" s="8"/>
      <c r="F73" s="8"/>
      <c r="G73" s="8" t="s">
        <v>11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 t="s">
        <v>1841</v>
      </c>
    </row>
    <row r="74" customFormat="false" ht="15" hidden="false" customHeight="false" outlineLevel="0" collapsed="false">
      <c r="A74" s="7" t="s">
        <v>1916</v>
      </c>
      <c r="B74" s="8" t="s">
        <v>1234</v>
      </c>
      <c r="C74" s="8" t="s">
        <v>41</v>
      </c>
      <c r="D74" s="9" t="n">
        <v>45357</v>
      </c>
      <c r="E74" s="8"/>
      <c r="F74" s="8"/>
      <c r="G74" s="8" t="s">
        <v>11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11" t="s">
        <v>1836</v>
      </c>
    </row>
    <row r="75" customFormat="false" ht="15" hidden="false" customHeight="false" outlineLevel="0" collapsed="false">
      <c r="A75" s="7" t="s">
        <v>1917</v>
      </c>
      <c r="B75" s="8" t="s">
        <v>1235</v>
      </c>
      <c r="C75" s="8" t="s">
        <v>85</v>
      </c>
      <c r="D75" s="9" t="n">
        <v>45357</v>
      </c>
      <c r="E75" s="8"/>
      <c r="F75" s="8"/>
      <c r="G75" s="8" t="s">
        <v>11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 t="s">
        <v>1841</v>
      </c>
    </row>
    <row r="76" customFormat="false" ht="15" hidden="false" customHeight="false" outlineLevel="0" collapsed="false">
      <c r="A76" s="7" t="s">
        <v>1918</v>
      </c>
      <c r="B76" s="8" t="s">
        <v>1235</v>
      </c>
      <c r="C76" s="8" t="s">
        <v>41</v>
      </c>
      <c r="D76" s="9" t="n">
        <v>45357</v>
      </c>
      <c r="E76" s="8"/>
      <c r="F76" s="8"/>
      <c r="G76" s="8" t="s">
        <v>11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1" t="s">
        <v>1836</v>
      </c>
    </row>
    <row r="77" customFormat="false" ht="15" hidden="false" customHeight="false" outlineLevel="0" collapsed="false">
      <c r="A77" s="7" t="s">
        <v>1919</v>
      </c>
      <c r="B77" s="8" t="s">
        <v>1236</v>
      </c>
      <c r="C77" s="8" t="s">
        <v>85</v>
      </c>
      <c r="D77" s="9" t="n">
        <v>45358</v>
      </c>
      <c r="E77" s="8"/>
      <c r="F77" s="8"/>
      <c r="G77" s="8" t="s">
        <v>11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 t="s">
        <v>1841</v>
      </c>
    </row>
    <row r="78" customFormat="false" ht="15" hidden="false" customHeight="false" outlineLevel="0" collapsed="false">
      <c r="A78" s="7" t="s">
        <v>1920</v>
      </c>
      <c r="B78" s="8" t="s">
        <v>1236</v>
      </c>
      <c r="C78" s="8" t="s">
        <v>41</v>
      </c>
      <c r="D78" s="9" t="n">
        <v>45358</v>
      </c>
      <c r="E78" s="8"/>
      <c r="F78" s="8"/>
      <c r="G78" s="8" t="s">
        <v>11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11" t="s">
        <v>1836</v>
      </c>
    </row>
    <row r="79" customFormat="false" ht="15" hidden="false" customHeight="false" outlineLevel="0" collapsed="false">
      <c r="A79" s="7" t="s">
        <v>1921</v>
      </c>
      <c r="B79" s="8" t="s">
        <v>1237</v>
      </c>
      <c r="C79" s="8" t="s">
        <v>85</v>
      </c>
      <c r="D79" s="9" t="n">
        <v>45358</v>
      </c>
      <c r="E79" s="8"/>
      <c r="F79" s="8"/>
      <c r="G79" s="8" t="s">
        <v>11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 t="s">
        <v>1841</v>
      </c>
    </row>
    <row r="80" customFormat="false" ht="15" hidden="false" customHeight="false" outlineLevel="0" collapsed="false">
      <c r="A80" s="7" t="s">
        <v>1922</v>
      </c>
      <c r="B80" s="8" t="s">
        <v>1237</v>
      </c>
      <c r="C80" s="8" t="s">
        <v>41</v>
      </c>
      <c r="D80" s="9" t="n">
        <v>45358</v>
      </c>
      <c r="E80" s="8"/>
      <c r="F80" s="8"/>
      <c r="G80" s="8" t="s">
        <v>11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 t="s">
        <v>1854</v>
      </c>
    </row>
    <row r="81" customFormat="false" ht="15" hidden="false" customHeight="false" outlineLevel="0" collapsed="false">
      <c r="A81" s="7" t="s">
        <v>1923</v>
      </c>
      <c r="B81" s="8" t="s">
        <v>1239</v>
      </c>
      <c r="C81" s="8" t="s">
        <v>85</v>
      </c>
      <c r="D81" s="9" t="n">
        <v>45359</v>
      </c>
      <c r="E81" s="8"/>
      <c r="F81" s="8"/>
      <c r="G81" s="8" t="s">
        <v>11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 t="s">
        <v>1841</v>
      </c>
    </row>
    <row r="82" customFormat="false" ht="15" hidden="false" customHeight="false" outlineLevel="0" collapsed="false">
      <c r="A82" s="7" t="s">
        <v>1924</v>
      </c>
      <c r="B82" s="8" t="s">
        <v>1239</v>
      </c>
      <c r="C82" s="8" t="s">
        <v>41</v>
      </c>
      <c r="D82" s="9" t="n">
        <v>45359</v>
      </c>
      <c r="E82" s="8"/>
      <c r="F82" s="8"/>
      <c r="G82" s="8" t="s">
        <v>11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 t="s">
        <v>1854</v>
      </c>
    </row>
    <row r="83" customFormat="false" ht="15" hidden="false" customHeight="false" outlineLevel="0" collapsed="false">
      <c r="A83" s="7" t="s">
        <v>1925</v>
      </c>
      <c r="B83" s="8" t="s">
        <v>1241</v>
      </c>
      <c r="C83" s="8" t="s">
        <v>41</v>
      </c>
      <c r="D83" s="9" t="n">
        <v>45365</v>
      </c>
      <c r="E83" s="8"/>
      <c r="F83" s="8"/>
      <c r="G83" s="8" t="s">
        <v>11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 t="s">
        <v>1859</v>
      </c>
    </row>
    <row r="84" customFormat="false" ht="15" hidden="false" customHeight="false" outlineLevel="0" collapsed="false">
      <c r="A84" s="7" t="s">
        <v>1926</v>
      </c>
      <c r="B84" s="8" t="s">
        <v>1243</v>
      </c>
      <c r="C84" s="8" t="s">
        <v>91</v>
      </c>
      <c r="D84" s="9" t="n">
        <v>45370</v>
      </c>
      <c r="E84" s="8"/>
      <c r="F84" s="8"/>
      <c r="G84" s="8" t="s">
        <v>11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 t="s">
        <v>1927</v>
      </c>
    </row>
    <row r="85" customFormat="false" ht="15" hidden="false" customHeight="false" outlineLevel="0" collapsed="false">
      <c r="A85" s="7" t="s">
        <v>1928</v>
      </c>
      <c r="B85" s="8" t="s">
        <v>1243</v>
      </c>
      <c r="C85" s="8" t="s">
        <v>41</v>
      </c>
      <c r="D85" s="9" t="n">
        <v>45370</v>
      </c>
      <c r="E85" s="8"/>
      <c r="F85" s="8"/>
      <c r="G85" s="8" t="s">
        <v>11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11" t="s">
        <v>1836</v>
      </c>
    </row>
    <row r="86" customFormat="false" ht="15" hidden="false" customHeight="false" outlineLevel="0" collapsed="false">
      <c r="A86" s="7" t="s">
        <v>1929</v>
      </c>
      <c r="B86" s="8" t="s">
        <v>1245</v>
      </c>
      <c r="C86" s="8" t="s">
        <v>41</v>
      </c>
      <c r="D86" s="9" t="n">
        <v>45372</v>
      </c>
      <c r="E86" s="8"/>
      <c r="F86" s="8"/>
      <c r="G86" s="8" t="s">
        <v>11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 t="s">
        <v>1859</v>
      </c>
    </row>
    <row r="87" customFormat="false" ht="15" hidden="false" customHeight="false" outlineLevel="0" collapsed="false">
      <c r="A87" s="7" t="s">
        <v>1930</v>
      </c>
      <c r="B87" s="8" t="s">
        <v>1245</v>
      </c>
      <c r="C87" s="8" t="s">
        <v>81</v>
      </c>
      <c r="D87" s="9" t="n">
        <v>45372</v>
      </c>
      <c r="E87" s="8"/>
      <c r="F87" s="8"/>
      <c r="G87" s="8" t="s">
        <v>11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 t="s">
        <v>1931</v>
      </c>
    </row>
    <row r="88" customFormat="false" ht="15" hidden="false" customHeight="false" outlineLevel="0" collapsed="false">
      <c r="A88" s="7" t="s">
        <v>1932</v>
      </c>
      <c r="B88" s="8" t="s">
        <v>1246</v>
      </c>
      <c r="C88" s="8" t="s">
        <v>41</v>
      </c>
      <c r="D88" s="9" t="n">
        <v>45383</v>
      </c>
      <c r="E88" s="8"/>
      <c r="F88" s="8"/>
      <c r="G88" s="8" t="s">
        <v>11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 t="s">
        <v>1859</v>
      </c>
    </row>
    <row r="89" customFormat="false" ht="15" hidden="false" customHeight="false" outlineLevel="0" collapsed="false">
      <c r="A89" s="7" t="s">
        <v>1933</v>
      </c>
      <c r="B89" s="8" t="s">
        <v>1246</v>
      </c>
      <c r="C89" s="8" t="s">
        <v>78</v>
      </c>
      <c r="D89" s="9" t="n">
        <v>45383</v>
      </c>
      <c r="E89" s="8"/>
      <c r="F89" s="8"/>
      <c r="G89" s="8" t="s">
        <v>11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 t="s">
        <v>1934</v>
      </c>
    </row>
    <row r="90" customFormat="false" ht="15" hidden="false" customHeight="false" outlineLevel="0" collapsed="false">
      <c r="A90" s="7" t="s">
        <v>1935</v>
      </c>
      <c r="B90" s="8" t="s">
        <v>1247</v>
      </c>
      <c r="C90" s="8" t="s">
        <v>41</v>
      </c>
      <c r="D90" s="9" t="n">
        <v>45385</v>
      </c>
      <c r="E90" s="8"/>
      <c r="F90" s="8"/>
      <c r="G90" s="8" t="s">
        <v>11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 t="s">
        <v>1859</v>
      </c>
    </row>
    <row r="91" customFormat="false" ht="15" hidden="false" customHeight="false" outlineLevel="0" collapsed="false">
      <c r="A91" s="7" t="s">
        <v>1936</v>
      </c>
      <c r="B91" s="8" t="s">
        <v>1247</v>
      </c>
      <c r="C91" s="8" t="s">
        <v>78</v>
      </c>
      <c r="D91" s="9" t="n">
        <v>45385</v>
      </c>
      <c r="E91" s="8"/>
      <c r="F91" s="8"/>
      <c r="G91" s="8" t="s">
        <v>11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 t="s">
        <v>1934</v>
      </c>
    </row>
    <row r="92" customFormat="false" ht="15" hidden="false" customHeight="false" outlineLevel="0" collapsed="false">
      <c r="A92" s="7" t="s">
        <v>1937</v>
      </c>
      <c r="B92" s="8" t="s">
        <v>1248</v>
      </c>
      <c r="C92" s="8" t="s">
        <v>41</v>
      </c>
      <c r="D92" s="9" t="n">
        <v>45386</v>
      </c>
      <c r="E92" s="8"/>
      <c r="F92" s="8"/>
      <c r="G92" s="8" t="s">
        <v>11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 t="s">
        <v>1859</v>
      </c>
    </row>
    <row r="93" customFormat="false" ht="15" hidden="false" customHeight="false" outlineLevel="0" collapsed="false">
      <c r="A93" s="7" t="s">
        <v>1938</v>
      </c>
      <c r="B93" s="8" t="s">
        <v>1248</v>
      </c>
      <c r="C93" s="8" t="s">
        <v>78</v>
      </c>
      <c r="D93" s="9" t="n">
        <v>45386</v>
      </c>
      <c r="E93" s="8"/>
      <c r="F93" s="8"/>
      <c r="G93" s="8" t="s">
        <v>11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 t="s">
        <v>1934</v>
      </c>
    </row>
    <row r="94" customFormat="false" ht="15" hidden="false" customHeight="false" outlineLevel="0" collapsed="false">
      <c r="A94" s="7" t="s">
        <v>1939</v>
      </c>
      <c r="B94" s="8" t="s">
        <v>1249</v>
      </c>
      <c r="C94" s="8" t="s">
        <v>41</v>
      </c>
      <c r="D94" s="9" t="n">
        <v>45387</v>
      </c>
      <c r="E94" s="8"/>
      <c r="F94" s="8"/>
      <c r="G94" s="8" t="s">
        <v>11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 t="s">
        <v>1859</v>
      </c>
    </row>
    <row r="95" customFormat="false" ht="15" hidden="false" customHeight="false" outlineLevel="0" collapsed="false">
      <c r="A95" s="7" t="s">
        <v>1940</v>
      </c>
      <c r="B95" s="8" t="s">
        <v>1249</v>
      </c>
      <c r="C95" s="8" t="s">
        <v>78</v>
      </c>
      <c r="D95" s="9" t="n">
        <v>45387</v>
      </c>
      <c r="E95" s="8"/>
      <c r="F95" s="8"/>
      <c r="G95" s="8" t="s">
        <v>11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 t="s">
        <v>1934</v>
      </c>
    </row>
    <row r="96" customFormat="false" ht="15" hidden="false" customHeight="false" outlineLevel="0" collapsed="false">
      <c r="A96" s="7" t="s">
        <v>1941</v>
      </c>
      <c r="B96" s="8" t="s">
        <v>1250</v>
      </c>
      <c r="C96" s="8" t="s">
        <v>81</v>
      </c>
      <c r="D96" s="9" t="n">
        <v>45393</v>
      </c>
      <c r="E96" s="8"/>
      <c r="F96" s="8"/>
      <c r="G96" s="8" t="s">
        <v>11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 t="s">
        <v>1911</v>
      </c>
    </row>
    <row r="97" customFormat="false" ht="15" hidden="false" customHeight="false" outlineLevel="0" collapsed="false">
      <c r="A97" s="7" t="s">
        <v>1942</v>
      </c>
      <c r="B97" s="8" t="s">
        <v>1250</v>
      </c>
      <c r="C97" s="8" t="s">
        <v>41</v>
      </c>
      <c r="D97" s="9" t="n">
        <v>45393</v>
      </c>
      <c r="E97" s="8"/>
      <c r="F97" s="8"/>
      <c r="G97" s="8" t="s">
        <v>11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11" t="s">
        <v>1836</v>
      </c>
    </row>
    <row r="98" customFormat="false" ht="15" hidden="false" customHeight="false" outlineLevel="0" collapsed="false">
      <c r="A98" s="7" t="s">
        <v>1943</v>
      </c>
      <c r="B98" s="8" t="s">
        <v>1251</v>
      </c>
      <c r="C98" s="8" t="s">
        <v>41</v>
      </c>
      <c r="D98" s="9" t="n">
        <v>45398</v>
      </c>
      <c r="E98" s="8"/>
      <c r="F98" s="8"/>
      <c r="G98" s="8" t="s">
        <v>11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 t="s">
        <v>1859</v>
      </c>
    </row>
    <row r="99" customFormat="false" ht="15" hidden="false" customHeight="false" outlineLevel="0" collapsed="false">
      <c r="A99" s="7" t="s">
        <v>1944</v>
      </c>
      <c r="B99" s="8" t="s">
        <v>1251</v>
      </c>
      <c r="C99" s="8" t="s">
        <v>91</v>
      </c>
      <c r="D99" s="9" t="n">
        <v>45398</v>
      </c>
      <c r="E99" s="8"/>
      <c r="F99" s="8"/>
      <c r="G99" s="8" t="s">
        <v>11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 t="s">
        <v>1927</v>
      </c>
    </row>
    <row r="100" customFormat="false" ht="15" hidden="false" customHeight="false" outlineLevel="0" collapsed="false">
      <c r="A100" s="7" t="s">
        <v>1945</v>
      </c>
      <c r="B100" s="8" t="s">
        <v>1252</v>
      </c>
      <c r="C100" s="8" t="s">
        <v>41</v>
      </c>
      <c r="D100" s="9" t="n">
        <v>45399</v>
      </c>
      <c r="E100" s="8"/>
      <c r="F100" s="8"/>
      <c r="G100" s="8" t="s">
        <v>11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 t="s">
        <v>1859</v>
      </c>
    </row>
    <row r="101" customFormat="false" ht="15" hidden="false" customHeight="false" outlineLevel="0" collapsed="false">
      <c r="A101" s="7" t="s">
        <v>1946</v>
      </c>
      <c r="B101" s="8" t="s">
        <v>1253</v>
      </c>
      <c r="C101" s="8" t="s">
        <v>41</v>
      </c>
      <c r="D101" s="9" t="n">
        <v>45400</v>
      </c>
      <c r="E101" s="8"/>
      <c r="F101" s="8"/>
      <c r="G101" s="8" t="s">
        <v>11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 t="s">
        <v>1859</v>
      </c>
    </row>
    <row r="102" customFormat="false" ht="15" hidden="false" customHeight="false" outlineLevel="0" collapsed="false">
      <c r="A102" s="7" t="s">
        <v>1947</v>
      </c>
      <c r="B102" s="8" t="s">
        <v>1253</v>
      </c>
      <c r="C102" s="8" t="s">
        <v>81</v>
      </c>
      <c r="D102" s="9" t="n">
        <v>45400</v>
      </c>
      <c r="E102" s="8"/>
      <c r="F102" s="8"/>
      <c r="G102" s="8" t="s">
        <v>11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 t="s">
        <v>1948</v>
      </c>
    </row>
    <row r="103" customFormat="false" ht="15" hidden="false" customHeight="false" outlineLevel="0" collapsed="false">
      <c r="A103" s="7" t="s">
        <v>1949</v>
      </c>
      <c r="B103" s="8" t="s">
        <v>1255</v>
      </c>
      <c r="C103" s="8" t="s">
        <v>41</v>
      </c>
      <c r="D103" s="9" t="n">
        <v>45407</v>
      </c>
      <c r="E103" s="8"/>
      <c r="F103" s="8"/>
      <c r="G103" s="8" t="s">
        <v>11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 t="s">
        <v>1859</v>
      </c>
    </row>
    <row r="104" customFormat="false" ht="15" hidden="false" customHeight="false" outlineLevel="0" collapsed="false">
      <c r="A104" s="7" t="s">
        <v>1950</v>
      </c>
      <c r="B104" s="8" t="s">
        <v>1257</v>
      </c>
      <c r="C104" s="8" t="s">
        <v>41</v>
      </c>
      <c r="D104" s="9" t="n">
        <v>45408</v>
      </c>
      <c r="E104" s="8"/>
      <c r="F104" s="8"/>
      <c r="G104" s="8" t="s">
        <v>11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 t="s">
        <v>1859</v>
      </c>
    </row>
    <row r="105" customFormat="false" ht="15" hidden="false" customHeight="false" outlineLevel="0" collapsed="false">
      <c r="A105" s="7" t="s">
        <v>1951</v>
      </c>
      <c r="B105" s="8" t="s">
        <v>1259</v>
      </c>
      <c r="C105" s="8" t="s">
        <v>93</v>
      </c>
      <c r="D105" s="9" t="n">
        <v>45422</v>
      </c>
      <c r="E105" s="8"/>
      <c r="F105" s="8"/>
      <c r="G105" s="8" t="s">
        <v>11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 t="s">
        <v>1952</v>
      </c>
    </row>
    <row r="106" customFormat="false" ht="15" hidden="false" customHeight="false" outlineLevel="0" collapsed="false">
      <c r="A106" s="7" t="s">
        <v>1953</v>
      </c>
      <c r="B106" s="8" t="s">
        <v>1261</v>
      </c>
      <c r="C106" s="8" t="s">
        <v>93</v>
      </c>
      <c r="D106" s="9" t="n">
        <v>45422</v>
      </c>
      <c r="E106" s="8"/>
      <c r="F106" s="8"/>
      <c r="G106" s="8" t="s">
        <v>11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 t="s">
        <v>1952</v>
      </c>
    </row>
    <row r="107" customFormat="false" ht="15" hidden="false" customHeight="false" outlineLevel="0" collapsed="false">
      <c r="A107" s="7" t="s">
        <v>1954</v>
      </c>
      <c r="B107" s="8" t="s">
        <v>1262</v>
      </c>
      <c r="C107" s="8" t="s">
        <v>93</v>
      </c>
      <c r="D107" s="9" t="n">
        <v>45422</v>
      </c>
      <c r="E107" s="8"/>
      <c r="F107" s="8"/>
      <c r="G107" s="8" t="s">
        <v>11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 t="s">
        <v>1952</v>
      </c>
    </row>
    <row r="108" customFormat="false" ht="15" hidden="false" customHeight="false" outlineLevel="0" collapsed="false">
      <c r="A108" s="7" t="s">
        <v>1955</v>
      </c>
      <c r="B108" s="8" t="s">
        <v>1263</v>
      </c>
      <c r="C108" s="8" t="s">
        <v>41</v>
      </c>
      <c r="D108" s="9" t="n">
        <v>45429</v>
      </c>
      <c r="E108" s="8"/>
      <c r="F108" s="8"/>
      <c r="G108" s="8" t="s">
        <v>11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 t="s">
        <v>1859</v>
      </c>
    </row>
    <row r="109" customFormat="false" ht="15" hidden="false" customHeight="false" outlineLevel="0" collapsed="false">
      <c r="A109" s="7" t="s">
        <v>1956</v>
      </c>
      <c r="B109" s="8" t="s">
        <v>1263</v>
      </c>
      <c r="C109" s="8" t="s">
        <v>78</v>
      </c>
      <c r="D109" s="9" t="n">
        <v>45429</v>
      </c>
      <c r="E109" s="8"/>
      <c r="F109" s="8"/>
      <c r="G109" s="8" t="s">
        <v>11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 t="s">
        <v>1934</v>
      </c>
    </row>
    <row r="110" customFormat="false" ht="15" hidden="false" customHeight="false" outlineLevel="0" collapsed="false">
      <c r="A110" s="7" t="s">
        <v>1957</v>
      </c>
      <c r="B110" s="8" t="s">
        <v>1264</v>
      </c>
      <c r="C110" s="8" t="s">
        <v>93</v>
      </c>
      <c r="D110" s="9" t="n">
        <v>45433</v>
      </c>
      <c r="E110" s="8"/>
      <c r="F110" s="8"/>
      <c r="G110" s="8" t="s">
        <v>11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 t="s">
        <v>1952</v>
      </c>
    </row>
    <row r="111" customFormat="false" ht="15" hidden="false" customHeight="false" outlineLevel="0" collapsed="false">
      <c r="A111" s="7" t="s">
        <v>1958</v>
      </c>
      <c r="B111" s="8" t="s">
        <v>1265</v>
      </c>
      <c r="C111" s="8" t="s">
        <v>93</v>
      </c>
      <c r="D111" s="9" t="n">
        <v>45433</v>
      </c>
      <c r="E111" s="8"/>
      <c r="F111" s="8"/>
      <c r="G111" s="8" t="s">
        <v>11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 t="s">
        <v>1952</v>
      </c>
    </row>
    <row r="112" customFormat="false" ht="15" hidden="false" customHeight="false" outlineLevel="0" collapsed="false">
      <c r="A112" s="7" t="s">
        <v>1959</v>
      </c>
      <c r="B112" s="8" t="s">
        <v>1266</v>
      </c>
      <c r="C112" s="8" t="s">
        <v>91</v>
      </c>
      <c r="D112" s="9" t="n">
        <v>45433</v>
      </c>
      <c r="E112" s="8"/>
      <c r="F112" s="8"/>
      <c r="G112" s="8" t="s">
        <v>11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 t="s">
        <v>1927</v>
      </c>
    </row>
    <row r="113" customFormat="false" ht="15" hidden="false" customHeight="false" outlineLevel="0" collapsed="false">
      <c r="A113" s="7" t="s">
        <v>1960</v>
      </c>
      <c r="B113" s="8" t="s">
        <v>1266</v>
      </c>
      <c r="C113" s="8" t="s">
        <v>41</v>
      </c>
      <c r="D113" s="9" t="n">
        <v>45433</v>
      </c>
      <c r="E113" s="8"/>
      <c r="F113" s="8"/>
      <c r="G113" s="8" t="s">
        <v>11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11" t="s">
        <v>1836</v>
      </c>
    </row>
    <row r="114" customFormat="false" ht="15" hidden="false" customHeight="false" outlineLevel="0" collapsed="false">
      <c r="A114" s="7" t="s">
        <v>1961</v>
      </c>
      <c r="B114" s="8" t="s">
        <v>1267</v>
      </c>
      <c r="C114" s="8" t="s">
        <v>91</v>
      </c>
      <c r="D114" s="9" t="n">
        <v>45434</v>
      </c>
      <c r="E114" s="8"/>
      <c r="F114" s="8"/>
      <c r="G114" s="8" t="s">
        <v>11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 t="s">
        <v>1927</v>
      </c>
    </row>
    <row r="115" customFormat="false" ht="15" hidden="false" customHeight="false" outlineLevel="0" collapsed="false">
      <c r="A115" s="7" t="s">
        <v>1962</v>
      </c>
      <c r="B115" s="8" t="s">
        <v>1267</v>
      </c>
      <c r="C115" s="8" t="s">
        <v>41</v>
      </c>
      <c r="D115" s="9" t="n">
        <v>45434</v>
      </c>
      <c r="E115" s="8"/>
      <c r="F115" s="8"/>
      <c r="G115" s="8" t="s">
        <v>11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11" t="s">
        <v>1836</v>
      </c>
    </row>
    <row r="116" customFormat="false" ht="15" hidden="false" customHeight="false" outlineLevel="0" collapsed="false">
      <c r="A116" s="7" t="s">
        <v>1963</v>
      </c>
      <c r="B116" s="8" t="s">
        <v>1269</v>
      </c>
      <c r="C116" s="8" t="s">
        <v>41</v>
      </c>
      <c r="D116" s="9" t="n">
        <v>45440</v>
      </c>
      <c r="E116" s="8"/>
      <c r="F116" s="8"/>
      <c r="G116" s="8" t="s">
        <v>11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 t="s">
        <v>1859</v>
      </c>
    </row>
    <row r="117" customFormat="false" ht="15" hidden="false" customHeight="false" outlineLevel="0" collapsed="false">
      <c r="A117" s="7" t="s">
        <v>1964</v>
      </c>
      <c r="B117" s="8" t="s">
        <v>1271</v>
      </c>
      <c r="C117" s="8" t="s">
        <v>41</v>
      </c>
      <c r="D117" s="9" t="n">
        <v>45443</v>
      </c>
      <c r="E117" s="8"/>
      <c r="F117" s="8"/>
      <c r="G117" s="8" t="s">
        <v>11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 t="s">
        <v>1859</v>
      </c>
    </row>
    <row r="118" customFormat="false" ht="15" hidden="false" customHeight="false" outlineLevel="0" collapsed="false">
      <c r="A118" s="7" t="s">
        <v>1965</v>
      </c>
      <c r="B118" s="8" t="s">
        <v>1273</v>
      </c>
      <c r="C118" s="8" t="s">
        <v>41</v>
      </c>
      <c r="D118" s="9" t="n">
        <v>45443</v>
      </c>
      <c r="E118" s="8"/>
      <c r="F118" s="8"/>
      <c r="G118" s="8" t="s">
        <v>11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1859</v>
      </c>
    </row>
    <row r="119" customFormat="false" ht="15" hidden="false" customHeight="false" outlineLevel="0" collapsed="false">
      <c r="A119" s="7" t="s">
        <v>1966</v>
      </c>
      <c r="B119" s="8" t="s">
        <v>1275</v>
      </c>
      <c r="C119" s="8" t="s">
        <v>41</v>
      </c>
      <c r="D119" s="9" t="n">
        <v>45448</v>
      </c>
      <c r="E119" s="8"/>
      <c r="F119" s="8"/>
      <c r="G119" s="8" t="s">
        <v>11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 t="s">
        <v>1859</v>
      </c>
    </row>
    <row r="120" customFormat="false" ht="15" hidden="false" customHeight="false" outlineLevel="0" collapsed="false">
      <c r="A120" s="7" t="s">
        <v>1967</v>
      </c>
      <c r="B120" s="8" t="s">
        <v>1277</v>
      </c>
      <c r="C120" s="8" t="s">
        <v>41</v>
      </c>
      <c r="D120" s="9" t="n">
        <v>45448</v>
      </c>
      <c r="E120" s="8"/>
      <c r="F120" s="8"/>
      <c r="G120" s="8" t="s">
        <v>11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 t="s">
        <v>1859</v>
      </c>
    </row>
    <row r="121" customFormat="false" ht="15" hidden="false" customHeight="false" outlineLevel="0" collapsed="false">
      <c r="A121" s="7" t="s">
        <v>1968</v>
      </c>
      <c r="B121" s="8" t="s">
        <v>1279</v>
      </c>
      <c r="C121" s="8" t="s">
        <v>41</v>
      </c>
      <c r="D121" s="9" t="n">
        <v>45448</v>
      </c>
      <c r="E121" s="8"/>
      <c r="F121" s="8"/>
      <c r="G121" s="8" t="s">
        <v>11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 t="s">
        <v>1859</v>
      </c>
    </row>
    <row r="122" customFormat="false" ht="15" hidden="false" customHeight="false" outlineLevel="0" collapsed="false">
      <c r="A122" s="7" t="s">
        <v>1969</v>
      </c>
      <c r="B122" s="8" t="s">
        <v>1281</v>
      </c>
      <c r="C122" s="8" t="s">
        <v>41</v>
      </c>
      <c r="D122" s="9" t="n">
        <v>45448</v>
      </c>
      <c r="E122" s="8"/>
      <c r="F122" s="8"/>
      <c r="G122" s="8" t="s">
        <v>11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 t="s">
        <v>1859</v>
      </c>
    </row>
    <row r="123" customFormat="false" ht="15" hidden="false" customHeight="false" outlineLevel="0" collapsed="false">
      <c r="A123" s="7" t="s">
        <v>1970</v>
      </c>
      <c r="B123" s="8" t="s">
        <v>1283</v>
      </c>
      <c r="C123" s="8" t="s">
        <v>41</v>
      </c>
      <c r="D123" s="9" t="n">
        <v>45450</v>
      </c>
      <c r="E123" s="8"/>
      <c r="F123" s="8"/>
      <c r="G123" s="8" t="s">
        <v>11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 t="s">
        <v>1859</v>
      </c>
    </row>
    <row r="124" customFormat="false" ht="15" hidden="false" customHeight="false" outlineLevel="0" collapsed="false">
      <c r="A124" s="7" t="s">
        <v>1971</v>
      </c>
      <c r="B124" s="8" t="s">
        <v>1285</v>
      </c>
      <c r="C124" s="8" t="s">
        <v>41</v>
      </c>
      <c r="D124" s="9" t="n">
        <v>45450</v>
      </c>
      <c r="E124" s="8"/>
      <c r="F124" s="8"/>
      <c r="G124" s="8" t="s">
        <v>11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 t="s">
        <v>1859</v>
      </c>
    </row>
    <row r="125" customFormat="false" ht="15" hidden="false" customHeight="false" outlineLevel="0" collapsed="false">
      <c r="A125" s="7" t="s">
        <v>1972</v>
      </c>
      <c r="B125" s="8" t="s">
        <v>1287</v>
      </c>
      <c r="C125" s="8" t="s">
        <v>41</v>
      </c>
      <c r="D125" s="9" t="n">
        <v>45451</v>
      </c>
      <c r="E125" s="8"/>
      <c r="F125" s="8"/>
      <c r="G125" s="8" t="s">
        <v>11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 t="s">
        <v>1859</v>
      </c>
    </row>
    <row r="126" customFormat="false" ht="15" hidden="false" customHeight="false" outlineLevel="0" collapsed="false">
      <c r="A126" s="7" t="s">
        <v>1973</v>
      </c>
      <c r="B126" s="8" t="s">
        <v>1289</v>
      </c>
      <c r="C126" s="8" t="s">
        <v>93</v>
      </c>
      <c r="D126" s="9" t="n">
        <v>45452</v>
      </c>
      <c r="E126" s="8"/>
      <c r="F126" s="8"/>
      <c r="G126" s="8" t="s">
        <v>11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 t="s">
        <v>1952</v>
      </c>
    </row>
    <row r="127" customFormat="false" ht="15" hidden="false" customHeight="false" outlineLevel="0" collapsed="false">
      <c r="A127" s="7" t="s">
        <v>1974</v>
      </c>
      <c r="B127" s="8" t="s">
        <v>1291</v>
      </c>
      <c r="C127" s="8" t="s">
        <v>97</v>
      </c>
      <c r="D127" s="9" t="n">
        <v>45460</v>
      </c>
      <c r="E127" s="8"/>
      <c r="F127" s="8"/>
      <c r="G127" s="8" t="s">
        <v>11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 t="s">
        <v>1975</v>
      </c>
    </row>
    <row r="128" customFormat="false" ht="15" hidden="false" customHeight="false" outlineLevel="0" collapsed="false">
      <c r="A128" s="7" t="s">
        <v>1976</v>
      </c>
      <c r="B128" s="8" t="s">
        <v>1293</v>
      </c>
      <c r="C128" s="8" t="s">
        <v>93</v>
      </c>
      <c r="D128" s="9" t="n">
        <v>45468</v>
      </c>
      <c r="E128" s="8"/>
      <c r="F128" s="8"/>
      <c r="G128" s="8" t="s">
        <v>11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 t="s">
        <v>1952</v>
      </c>
    </row>
    <row r="129" customFormat="false" ht="15" hidden="false" customHeight="false" outlineLevel="0" collapsed="false">
      <c r="A129" s="7" t="s">
        <v>1977</v>
      </c>
      <c r="B129" s="8" t="s">
        <v>1293</v>
      </c>
      <c r="C129" s="8" t="s">
        <v>41</v>
      </c>
      <c r="D129" s="9" t="n">
        <v>45468</v>
      </c>
      <c r="E129" s="8"/>
      <c r="F129" s="8"/>
      <c r="G129" s="8" t="s">
        <v>11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11" t="s">
        <v>1836</v>
      </c>
    </row>
    <row r="130" customFormat="false" ht="15" hidden="false" customHeight="false" outlineLevel="0" collapsed="false">
      <c r="A130" s="7" t="s">
        <v>1978</v>
      </c>
      <c r="B130" s="8" t="s">
        <v>1294</v>
      </c>
      <c r="C130" s="8" t="s">
        <v>89</v>
      </c>
      <c r="D130" s="9" t="n">
        <v>45496</v>
      </c>
      <c r="E130" s="8"/>
      <c r="F130" s="8"/>
      <c r="G130" s="8" t="s">
        <v>11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 t="s">
        <v>1856</v>
      </c>
    </row>
    <row r="131" customFormat="false" ht="15" hidden="false" customHeight="false" outlineLevel="0" collapsed="false">
      <c r="A131" s="7" t="s">
        <v>1979</v>
      </c>
      <c r="B131" s="8" t="s">
        <v>1296</v>
      </c>
      <c r="C131" s="8" t="s">
        <v>89</v>
      </c>
      <c r="D131" s="9" t="n">
        <v>45497</v>
      </c>
      <c r="E131" s="8"/>
      <c r="F131" s="8"/>
      <c r="G131" s="8" t="s">
        <v>11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 t="s">
        <v>1856</v>
      </c>
    </row>
    <row r="132" customFormat="false" ht="15" hidden="false" customHeight="false" outlineLevel="0" collapsed="false">
      <c r="A132" s="7" t="s">
        <v>1980</v>
      </c>
      <c r="B132" s="8" t="s">
        <v>1298</v>
      </c>
      <c r="C132" s="8" t="s">
        <v>89</v>
      </c>
      <c r="D132" s="9" t="n">
        <v>45497</v>
      </c>
      <c r="E132" s="8"/>
      <c r="F132" s="8"/>
      <c r="G132" s="8" t="s">
        <v>11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 t="s">
        <v>1856</v>
      </c>
    </row>
    <row r="133" customFormat="false" ht="15" hidden="false" customHeight="false" outlineLevel="0" collapsed="false">
      <c r="A133" s="7" t="s">
        <v>1981</v>
      </c>
      <c r="B133" s="8" t="s">
        <v>1300</v>
      </c>
      <c r="C133" s="8" t="s">
        <v>89</v>
      </c>
      <c r="D133" s="9" t="n">
        <v>45498</v>
      </c>
      <c r="E133" s="8"/>
      <c r="F133" s="8"/>
      <c r="G133" s="8" t="s">
        <v>11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 t="s">
        <v>1856</v>
      </c>
    </row>
    <row r="134" customFormat="false" ht="15" hidden="false" customHeight="false" outlineLevel="0" collapsed="false">
      <c r="A134" s="7" t="s">
        <v>1982</v>
      </c>
      <c r="B134" s="8" t="s">
        <v>1302</v>
      </c>
      <c r="C134" s="8" t="s">
        <v>89</v>
      </c>
      <c r="D134" s="9" t="n">
        <v>45498</v>
      </c>
      <c r="E134" s="8"/>
      <c r="F134" s="8"/>
      <c r="G134" s="8" t="s">
        <v>11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 t="s">
        <v>1856</v>
      </c>
    </row>
    <row r="135" customFormat="false" ht="15" hidden="false" customHeight="false" outlineLevel="0" collapsed="false">
      <c r="A135" s="7" t="s">
        <v>1983</v>
      </c>
      <c r="B135" s="8" t="s">
        <v>1304</v>
      </c>
      <c r="C135" s="8" t="s">
        <v>89</v>
      </c>
      <c r="D135" s="9" t="n">
        <v>45498</v>
      </c>
      <c r="E135" s="8"/>
      <c r="F135" s="8"/>
      <c r="G135" s="8" t="s">
        <v>11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 t="s">
        <v>1856</v>
      </c>
    </row>
    <row r="136" customFormat="false" ht="15" hidden="false" customHeight="false" outlineLevel="0" collapsed="false">
      <c r="A136" s="7" t="s">
        <v>1984</v>
      </c>
      <c r="B136" s="8" t="s">
        <v>1306</v>
      </c>
      <c r="C136" s="8" t="s">
        <v>78</v>
      </c>
      <c r="D136" s="9" t="n">
        <v>45499</v>
      </c>
      <c r="E136" s="8"/>
      <c r="F136" s="8"/>
      <c r="G136" s="8" t="s">
        <v>11</v>
      </c>
      <c r="H136" s="8"/>
      <c r="I136" s="8"/>
      <c r="J136" s="8" t="s">
        <v>1985</v>
      </c>
      <c r="K136" s="8"/>
      <c r="L136" s="8"/>
      <c r="M136" s="8"/>
      <c r="N136" s="8"/>
      <c r="O136" s="8"/>
      <c r="P136" s="8"/>
      <c r="Q136" s="8"/>
      <c r="R136" s="8"/>
      <c r="S136" s="8" t="s">
        <v>1934</v>
      </c>
    </row>
    <row r="137" customFormat="false" ht="15" hidden="false" customHeight="false" outlineLevel="0" collapsed="false">
      <c r="A137" s="7" t="s">
        <v>1986</v>
      </c>
      <c r="B137" s="8" t="s">
        <v>1306</v>
      </c>
      <c r="C137" s="8" t="s">
        <v>41</v>
      </c>
      <c r="D137" s="9" t="n">
        <v>45513</v>
      </c>
      <c r="E137" s="8"/>
      <c r="F137" s="8"/>
      <c r="G137" s="8" t="s">
        <v>11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11" t="s">
        <v>1836</v>
      </c>
    </row>
    <row r="138" customFormat="false" ht="15" hidden="false" customHeight="false" outlineLevel="0" collapsed="false">
      <c r="A138" s="7" t="s">
        <v>1987</v>
      </c>
      <c r="B138" s="8" t="s">
        <v>1308</v>
      </c>
      <c r="C138" s="8" t="s">
        <v>97</v>
      </c>
      <c r="D138" s="9" t="n">
        <v>45502</v>
      </c>
      <c r="E138" s="8"/>
      <c r="F138" s="8"/>
      <c r="G138" s="8" t="s">
        <v>11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 t="s">
        <v>1975</v>
      </c>
    </row>
    <row r="139" customFormat="false" ht="15" hidden="false" customHeight="false" outlineLevel="0" collapsed="false">
      <c r="A139" s="7" t="s">
        <v>1988</v>
      </c>
      <c r="B139" s="8" t="s">
        <v>1309</v>
      </c>
      <c r="C139" s="8" t="s">
        <v>78</v>
      </c>
      <c r="D139" s="9" t="n">
        <v>45504</v>
      </c>
      <c r="E139" s="8"/>
      <c r="F139" s="8"/>
      <c r="G139" s="8" t="s">
        <v>11</v>
      </c>
      <c r="H139" s="8"/>
      <c r="I139" s="8"/>
      <c r="J139" s="8" t="s">
        <v>1985</v>
      </c>
      <c r="K139" s="8"/>
      <c r="L139" s="8"/>
      <c r="M139" s="8"/>
      <c r="N139" s="8"/>
      <c r="O139" s="8"/>
      <c r="P139" s="8"/>
      <c r="Q139" s="8"/>
      <c r="R139" s="8"/>
      <c r="S139" s="8" t="s">
        <v>1934</v>
      </c>
    </row>
    <row r="140" customFormat="false" ht="15" hidden="false" customHeight="false" outlineLevel="0" collapsed="false">
      <c r="A140" s="7" t="s">
        <v>1989</v>
      </c>
      <c r="B140" s="8" t="s">
        <v>1311</v>
      </c>
      <c r="C140" s="8" t="s">
        <v>78</v>
      </c>
      <c r="D140" s="9" t="n">
        <v>45506</v>
      </c>
      <c r="E140" s="8"/>
      <c r="F140" s="8"/>
      <c r="G140" s="8" t="s">
        <v>11</v>
      </c>
      <c r="H140" s="8"/>
      <c r="I140" s="8"/>
      <c r="J140" s="8" t="s">
        <v>1985</v>
      </c>
      <c r="K140" s="8"/>
      <c r="L140" s="8"/>
      <c r="M140" s="8"/>
      <c r="N140" s="8"/>
      <c r="O140" s="8"/>
      <c r="P140" s="8"/>
      <c r="Q140" s="8"/>
      <c r="R140" s="8"/>
      <c r="S140" s="8" t="s">
        <v>1934</v>
      </c>
    </row>
    <row r="141" customFormat="false" ht="15" hidden="false" customHeight="false" outlineLevel="0" collapsed="false">
      <c r="A141" s="7" t="s">
        <v>1990</v>
      </c>
      <c r="B141" s="8" t="s">
        <v>1311</v>
      </c>
      <c r="C141" s="8" t="s">
        <v>41</v>
      </c>
      <c r="D141" s="9" t="n">
        <v>45541</v>
      </c>
      <c r="E141" s="8"/>
      <c r="F141" s="8"/>
      <c r="G141" s="8" t="s">
        <v>11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11" t="s">
        <v>1836</v>
      </c>
    </row>
    <row r="142" customFormat="false" ht="15" hidden="false" customHeight="false" outlineLevel="0" collapsed="false">
      <c r="A142" s="7" t="s">
        <v>1991</v>
      </c>
      <c r="B142" s="8" t="s">
        <v>1313</v>
      </c>
      <c r="C142" s="8" t="s">
        <v>78</v>
      </c>
      <c r="D142" s="9" t="n">
        <v>45509</v>
      </c>
      <c r="E142" s="8"/>
      <c r="F142" s="8"/>
      <c r="G142" s="8" t="s">
        <v>11</v>
      </c>
      <c r="H142" s="8"/>
      <c r="I142" s="8"/>
      <c r="J142" s="8" t="s">
        <v>1985</v>
      </c>
      <c r="K142" s="8"/>
      <c r="L142" s="8"/>
      <c r="M142" s="8"/>
      <c r="N142" s="8"/>
      <c r="O142" s="8"/>
      <c r="P142" s="8"/>
      <c r="Q142" s="8"/>
      <c r="R142" s="8"/>
      <c r="S142" s="8" t="s">
        <v>1934</v>
      </c>
    </row>
    <row r="143" customFormat="false" ht="15" hidden="false" customHeight="false" outlineLevel="0" collapsed="false">
      <c r="A143" s="7" t="s">
        <v>1992</v>
      </c>
      <c r="B143" s="8" t="s">
        <v>1315</v>
      </c>
      <c r="C143" s="8" t="s">
        <v>78</v>
      </c>
      <c r="D143" s="9" t="n">
        <v>45510</v>
      </c>
      <c r="E143" s="8"/>
      <c r="F143" s="8"/>
      <c r="G143" s="8" t="s">
        <v>11</v>
      </c>
      <c r="H143" s="8"/>
      <c r="I143" s="8"/>
      <c r="J143" s="8" t="s">
        <v>1985</v>
      </c>
      <c r="K143" s="8"/>
      <c r="L143" s="8"/>
      <c r="M143" s="8"/>
      <c r="N143" s="8"/>
      <c r="O143" s="8"/>
      <c r="P143" s="8"/>
      <c r="Q143" s="8"/>
      <c r="R143" s="8"/>
      <c r="S143" s="8" t="s">
        <v>1934</v>
      </c>
    </row>
    <row r="144" customFormat="false" ht="15" hidden="false" customHeight="false" outlineLevel="0" collapsed="false">
      <c r="A144" s="7" t="s">
        <v>1993</v>
      </c>
      <c r="B144" s="8" t="s">
        <v>1315</v>
      </c>
      <c r="C144" s="8" t="s">
        <v>41</v>
      </c>
      <c r="D144" s="9" t="n">
        <v>45548</v>
      </c>
      <c r="E144" s="8"/>
      <c r="F144" s="8"/>
      <c r="G144" s="8" t="s">
        <v>11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11" t="s">
        <v>1836</v>
      </c>
    </row>
    <row r="145" customFormat="false" ht="15" hidden="false" customHeight="false" outlineLevel="0" collapsed="false">
      <c r="A145" s="7" t="s">
        <v>1994</v>
      </c>
      <c r="B145" s="8" t="s">
        <v>1317</v>
      </c>
      <c r="C145" s="8" t="s">
        <v>78</v>
      </c>
      <c r="D145" s="9" t="n">
        <v>45510</v>
      </c>
      <c r="E145" s="8"/>
      <c r="F145" s="8"/>
      <c r="G145" s="8" t="s">
        <v>11</v>
      </c>
      <c r="H145" s="8"/>
      <c r="I145" s="8"/>
      <c r="J145" s="8" t="s">
        <v>1985</v>
      </c>
      <c r="K145" s="8"/>
      <c r="L145" s="8"/>
      <c r="M145" s="8"/>
      <c r="N145" s="8"/>
      <c r="O145" s="8"/>
      <c r="P145" s="8"/>
      <c r="Q145" s="8"/>
      <c r="R145" s="8"/>
      <c r="S145" s="8" t="s">
        <v>1934</v>
      </c>
    </row>
    <row r="146" customFormat="false" ht="15" hidden="false" customHeight="false" outlineLevel="0" collapsed="false">
      <c r="A146" s="7" t="s">
        <v>1995</v>
      </c>
      <c r="B146" s="8" t="s">
        <v>1317</v>
      </c>
      <c r="C146" s="8" t="s">
        <v>41</v>
      </c>
      <c r="D146" s="9" t="n">
        <v>45575</v>
      </c>
      <c r="E146" s="8"/>
      <c r="F146" s="8"/>
      <c r="G146" s="8" t="s">
        <v>11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11" t="s">
        <v>1836</v>
      </c>
    </row>
    <row r="147" customFormat="false" ht="15" hidden="false" customHeight="false" outlineLevel="0" collapsed="false">
      <c r="A147" s="7" t="s">
        <v>1996</v>
      </c>
      <c r="B147" s="8" t="s">
        <v>1319</v>
      </c>
      <c r="C147" s="8" t="s">
        <v>97</v>
      </c>
      <c r="D147" s="9" t="n">
        <v>45524</v>
      </c>
      <c r="E147" s="8"/>
      <c r="F147" s="8"/>
      <c r="G147" s="8" t="s">
        <v>11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 t="s">
        <v>1975</v>
      </c>
    </row>
    <row r="148" customFormat="false" ht="15" hidden="false" customHeight="false" outlineLevel="0" collapsed="false">
      <c r="A148" s="7" t="s">
        <v>1997</v>
      </c>
      <c r="B148" s="8" t="s">
        <v>1321</v>
      </c>
      <c r="C148" s="8" t="s">
        <v>97</v>
      </c>
      <c r="D148" s="9" t="n">
        <v>45526</v>
      </c>
      <c r="E148" s="8"/>
      <c r="F148" s="8"/>
      <c r="G148" s="8" t="s">
        <v>11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 t="s">
        <v>1975</v>
      </c>
    </row>
    <row r="149" customFormat="false" ht="15" hidden="false" customHeight="false" outlineLevel="0" collapsed="false">
      <c r="A149" s="7" t="s">
        <v>1998</v>
      </c>
      <c r="B149" s="8" t="s">
        <v>1323</v>
      </c>
      <c r="C149" s="8" t="s">
        <v>81</v>
      </c>
      <c r="D149" s="9" t="n">
        <v>45540</v>
      </c>
      <c r="E149" s="8"/>
      <c r="F149" s="8"/>
      <c r="G149" s="8" t="s">
        <v>11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 t="s">
        <v>1999</v>
      </c>
    </row>
    <row r="150" customFormat="false" ht="15" hidden="false" customHeight="false" outlineLevel="0" collapsed="false">
      <c r="A150" s="7" t="s">
        <v>2000</v>
      </c>
      <c r="B150" s="8" t="s">
        <v>1325</v>
      </c>
      <c r="C150" s="8" t="s">
        <v>81</v>
      </c>
      <c r="D150" s="9" t="n">
        <v>45540</v>
      </c>
      <c r="E150" s="8"/>
      <c r="F150" s="8"/>
      <c r="G150" s="8" t="s">
        <v>11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 t="s">
        <v>1999</v>
      </c>
    </row>
    <row r="151" customFormat="false" ht="15" hidden="false" customHeight="false" outlineLevel="0" collapsed="false">
      <c r="A151" s="7" t="s">
        <v>2001</v>
      </c>
      <c r="B151" s="8" t="s">
        <v>1327</v>
      </c>
      <c r="C151" s="8" t="s">
        <v>81</v>
      </c>
      <c r="D151" s="9" t="n">
        <v>45540</v>
      </c>
      <c r="E151" s="8"/>
      <c r="F151" s="8"/>
      <c r="G151" s="8" t="s">
        <v>11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 t="s">
        <v>1999</v>
      </c>
    </row>
    <row r="152" customFormat="false" ht="15" hidden="false" customHeight="false" outlineLevel="0" collapsed="false">
      <c r="A152" s="7" t="s">
        <v>2002</v>
      </c>
      <c r="B152" s="8" t="s">
        <v>1329</v>
      </c>
      <c r="C152" s="8" t="s">
        <v>81</v>
      </c>
      <c r="D152" s="9" t="n">
        <v>45540</v>
      </c>
      <c r="E152" s="8"/>
      <c r="F152" s="8"/>
      <c r="G152" s="8" t="s">
        <v>11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 t="s">
        <v>1999</v>
      </c>
    </row>
    <row r="153" customFormat="false" ht="15" hidden="false" customHeight="false" outlineLevel="0" collapsed="false">
      <c r="A153" s="7" t="s">
        <v>2003</v>
      </c>
      <c r="B153" s="8" t="s">
        <v>1331</v>
      </c>
      <c r="C153" s="8" t="s">
        <v>81</v>
      </c>
      <c r="D153" s="9" t="n">
        <v>45540</v>
      </c>
      <c r="E153" s="8"/>
      <c r="F153" s="8"/>
      <c r="G153" s="8" t="s">
        <v>11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 t="s">
        <v>1999</v>
      </c>
    </row>
    <row r="154" customFormat="false" ht="15" hidden="false" customHeight="false" outlineLevel="0" collapsed="false">
      <c r="A154" s="7" t="s">
        <v>2004</v>
      </c>
      <c r="B154" s="8" t="s">
        <v>1333</v>
      </c>
      <c r="C154" s="8" t="s">
        <v>81</v>
      </c>
      <c r="D154" s="9" t="n">
        <v>45540</v>
      </c>
      <c r="E154" s="8"/>
      <c r="F154" s="8"/>
      <c r="G154" s="8" t="s">
        <v>11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 t="s">
        <v>1999</v>
      </c>
    </row>
    <row r="155" customFormat="false" ht="15" hidden="false" customHeight="false" outlineLevel="0" collapsed="false">
      <c r="A155" s="7" t="s">
        <v>2005</v>
      </c>
      <c r="B155" s="8" t="s">
        <v>1335</v>
      </c>
      <c r="C155" s="8" t="s">
        <v>97</v>
      </c>
      <c r="D155" s="9" t="n">
        <v>45545</v>
      </c>
      <c r="E155" s="8"/>
      <c r="F155" s="8"/>
      <c r="G155" s="8" t="s">
        <v>11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 t="s">
        <v>2006</v>
      </c>
    </row>
    <row r="156" customFormat="false" ht="15" hidden="false" customHeight="false" outlineLevel="0" collapsed="false">
      <c r="A156" s="7" t="s">
        <v>2007</v>
      </c>
      <c r="B156" s="8" t="s">
        <v>1337</v>
      </c>
      <c r="C156" s="8" t="s">
        <v>97</v>
      </c>
      <c r="D156" s="9" t="n">
        <v>45545</v>
      </c>
      <c r="E156" s="8"/>
      <c r="F156" s="8"/>
      <c r="G156" s="8" t="s">
        <v>11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 t="s">
        <v>2006</v>
      </c>
    </row>
    <row r="157" customFormat="false" ht="15" hidden="false" customHeight="false" outlineLevel="0" collapsed="false">
      <c r="A157" s="7" t="s">
        <v>2008</v>
      </c>
      <c r="B157" s="8" t="s">
        <v>1339</v>
      </c>
      <c r="C157" s="8" t="s">
        <v>55</v>
      </c>
      <c r="D157" s="9" t="n">
        <v>45545</v>
      </c>
      <c r="E157" s="8"/>
      <c r="F157" s="8"/>
      <c r="G157" s="8" t="s">
        <v>11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 t="s">
        <v>2009</v>
      </c>
    </row>
    <row r="158" customFormat="false" ht="15" hidden="false" customHeight="false" outlineLevel="0" collapsed="false">
      <c r="A158" s="7" t="s">
        <v>2010</v>
      </c>
      <c r="B158" s="8" t="s">
        <v>1341</v>
      </c>
      <c r="C158" s="8" t="s">
        <v>67</v>
      </c>
      <c r="D158" s="9" t="n">
        <v>45554</v>
      </c>
      <c r="E158" s="8"/>
      <c r="F158" s="8"/>
      <c r="G158" s="8" t="s">
        <v>11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 t="s">
        <v>2011</v>
      </c>
    </row>
    <row r="159" customFormat="false" ht="15" hidden="false" customHeight="false" outlineLevel="0" collapsed="false">
      <c r="A159" s="7" t="s">
        <v>2012</v>
      </c>
      <c r="B159" s="8" t="s">
        <v>1341</v>
      </c>
      <c r="C159" s="8" t="s">
        <v>41</v>
      </c>
      <c r="D159" s="9" t="n">
        <v>45554</v>
      </c>
      <c r="E159" s="8"/>
      <c r="F159" s="8"/>
      <c r="G159" s="8" t="s">
        <v>11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11" t="s">
        <v>1836</v>
      </c>
    </row>
    <row r="160" customFormat="false" ht="15" hidden="false" customHeight="false" outlineLevel="0" collapsed="false">
      <c r="A160" s="7" t="s">
        <v>2013</v>
      </c>
      <c r="B160" s="8" t="s">
        <v>1342</v>
      </c>
      <c r="C160" s="8" t="s">
        <v>89</v>
      </c>
      <c r="D160" s="9" t="n">
        <v>45559</v>
      </c>
      <c r="E160" s="8"/>
      <c r="F160" s="8"/>
      <c r="G160" s="8" t="s">
        <v>11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 t="s">
        <v>1856</v>
      </c>
    </row>
    <row r="161" customFormat="false" ht="15" hidden="false" customHeight="false" outlineLevel="0" collapsed="false">
      <c r="A161" s="7" t="s">
        <v>2014</v>
      </c>
      <c r="B161" s="8" t="s">
        <v>1344</v>
      </c>
      <c r="C161" s="8" t="s">
        <v>89</v>
      </c>
      <c r="D161" s="9" t="n">
        <v>45560</v>
      </c>
      <c r="E161" s="8"/>
      <c r="F161" s="8"/>
      <c r="G161" s="8" t="s">
        <v>11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 t="s">
        <v>1856</v>
      </c>
    </row>
    <row r="162" customFormat="false" ht="15" hidden="false" customHeight="false" outlineLevel="0" collapsed="false">
      <c r="A162" s="7" t="s">
        <v>2015</v>
      </c>
      <c r="B162" s="8" t="s">
        <v>1346</v>
      </c>
      <c r="C162" s="8" t="s">
        <v>89</v>
      </c>
      <c r="D162" s="9" t="n">
        <v>45560</v>
      </c>
      <c r="E162" s="8"/>
      <c r="F162" s="8"/>
      <c r="G162" s="8" t="s">
        <v>11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 t="s">
        <v>1856</v>
      </c>
    </row>
    <row r="163" customFormat="false" ht="15" hidden="false" customHeight="false" outlineLevel="0" collapsed="false">
      <c r="A163" s="7" t="s">
        <v>2016</v>
      </c>
      <c r="B163" s="8" t="s">
        <v>1348</v>
      </c>
      <c r="C163" s="8" t="s">
        <v>89</v>
      </c>
      <c r="D163" s="9" t="n">
        <v>45561</v>
      </c>
      <c r="E163" s="8"/>
      <c r="F163" s="8"/>
      <c r="G163" s="8" t="s">
        <v>11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 t="s">
        <v>1856</v>
      </c>
    </row>
    <row r="164" customFormat="false" ht="15" hidden="false" customHeight="false" outlineLevel="0" collapsed="false">
      <c r="A164" s="7" t="s">
        <v>2017</v>
      </c>
      <c r="B164" s="8" t="s">
        <v>1350</v>
      </c>
      <c r="C164" s="8" t="s">
        <v>55</v>
      </c>
      <c r="D164" s="9" t="n">
        <v>45574</v>
      </c>
      <c r="E164" s="8"/>
      <c r="F164" s="8"/>
      <c r="G164" s="8" t="s">
        <v>11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 t="s">
        <v>2018</v>
      </c>
    </row>
    <row r="165" customFormat="false" ht="15" hidden="false" customHeight="false" outlineLevel="0" collapsed="false">
      <c r="A165" s="7" t="s">
        <v>2019</v>
      </c>
      <c r="B165" s="8" t="s">
        <v>1352</v>
      </c>
      <c r="C165" s="8" t="s">
        <v>55</v>
      </c>
      <c r="D165" s="9" t="n">
        <v>45574</v>
      </c>
      <c r="E165" s="8"/>
      <c r="F165" s="8"/>
      <c r="G165" s="8" t="s">
        <v>11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 t="s">
        <v>2018</v>
      </c>
    </row>
    <row r="166" customFormat="false" ht="15" hidden="false" customHeight="false" outlineLevel="0" collapsed="false">
      <c r="A166" s="7" t="s">
        <v>2020</v>
      </c>
      <c r="B166" s="8" t="s">
        <v>1356</v>
      </c>
      <c r="C166" s="8" t="s">
        <v>89</v>
      </c>
      <c r="D166" s="9" t="n">
        <v>45577</v>
      </c>
      <c r="E166" s="8"/>
      <c r="F166" s="8"/>
      <c r="G166" s="8" t="s">
        <v>11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 t="s">
        <v>1856</v>
      </c>
    </row>
    <row r="167" customFormat="false" ht="15" hidden="false" customHeight="false" outlineLevel="0" collapsed="false">
      <c r="A167" s="7" t="s">
        <v>2021</v>
      </c>
      <c r="B167" s="8" t="s">
        <v>1358</v>
      </c>
      <c r="C167" s="8" t="s">
        <v>89</v>
      </c>
      <c r="D167" s="9" t="n">
        <v>45577</v>
      </c>
      <c r="E167" s="8"/>
      <c r="F167" s="8"/>
      <c r="G167" s="8" t="s">
        <v>11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 t="s">
        <v>1856</v>
      </c>
    </row>
    <row r="168" customFormat="false" ht="15" hidden="false" customHeight="false" outlineLevel="0" collapsed="false">
      <c r="A168" s="7" t="s">
        <v>2022</v>
      </c>
      <c r="B168" s="8" t="s">
        <v>1360</v>
      </c>
      <c r="C168" s="8" t="s">
        <v>41</v>
      </c>
      <c r="D168" s="9" t="n">
        <v>45583</v>
      </c>
      <c r="E168" s="8"/>
      <c r="F168" s="8"/>
      <c r="G168" s="8" t="s">
        <v>11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 t="s">
        <v>1859</v>
      </c>
    </row>
    <row r="169" customFormat="false" ht="15" hidden="false" customHeight="false" outlineLevel="0" collapsed="false">
      <c r="A169" s="7" t="s">
        <v>2023</v>
      </c>
      <c r="B169" s="8" t="s">
        <v>1360</v>
      </c>
      <c r="C169" s="8" t="s">
        <v>91</v>
      </c>
      <c r="D169" s="9" t="n">
        <v>45583</v>
      </c>
      <c r="E169" s="8"/>
      <c r="F169" s="8"/>
      <c r="G169" s="8" t="s">
        <v>11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 t="s">
        <v>1927</v>
      </c>
    </row>
    <row r="170" customFormat="false" ht="15" hidden="false" customHeight="false" outlineLevel="0" collapsed="false">
      <c r="A170" s="7" t="s">
        <v>2024</v>
      </c>
      <c r="B170" s="8" t="s">
        <v>1362</v>
      </c>
      <c r="C170" s="8" t="s">
        <v>41</v>
      </c>
      <c r="D170" s="9" t="n">
        <v>45583</v>
      </c>
      <c r="E170" s="8"/>
      <c r="F170" s="8"/>
      <c r="G170" s="8" t="s">
        <v>11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 t="s">
        <v>1859</v>
      </c>
    </row>
    <row r="171" customFormat="false" ht="15" hidden="false" customHeight="false" outlineLevel="0" collapsed="false">
      <c r="A171" s="7" t="s">
        <v>2025</v>
      </c>
      <c r="B171" s="8" t="s">
        <v>1362</v>
      </c>
      <c r="C171" s="8" t="s">
        <v>91</v>
      </c>
      <c r="D171" s="9" t="n">
        <v>45583</v>
      </c>
      <c r="E171" s="8"/>
      <c r="F171" s="8"/>
      <c r="G171" s="8" t="s">
        <v>11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 t="s">
        <v>1927</v>
      </c>
    </row>
    <row r="172" customFormat="false" ht="15" hidden="false" customHeight="false" outlineLevel="0" collapsed="false">
      <c r="A172" s="7" t="s">
        <v>2026</v>
      </c>
      <c r="B172" s="8" t="s">
        <v>1364</v>
      </c>
      <c r="C172" s="8" t="s">
        <v>41</v>
      </c>
      <c r="D172" s="9" t="n">
        <v>45587</v>
      </c>
      <c r="E172" s="8"/>
      <c r="F172" s="8"/>
      <c r="G172" s="8" t="s">
        <v>11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 t="s">
        <v>1859</v>
      </c>
    </row>
    <row r="173" customFormat="false" ht="15" hidden="false" customHeight="false" outlineLevel="0" collapsed="false">
      <c r="A173" s="7" t="s">
        <v>2027</v>
      </c>
      <c r="B173" s="8" t="s">
        <v>1366</v>
      </c>
      <c r="C173" s="8" t="s">
        <v>41</v>
      </c>
      <c r="D173" s="9" t="n">
        <v>45587</v>
      </c>
      <c r="E173" s="8"/>
      <c r="F173" s="8"/>
      <c r="G173" s="8" t="s">
        <v>11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 t="s">
        <v>1859</v>
      </c>
    </row>
    <row r="174" customFormat="false" ht="15" hidden="false" customHeight="false" outlineLevel="0" collapsed="false">
      <c r="A174" s="7" t="s">
        <v>2028</v>
      </c>
      <c r="B174" s="8" t="s">
        <v>1366</v>
      </c>
      <c r="C174" s="8" t="s">
        <v>91</v>
      </c>
      <c r="D174" s="9" t="n">
        <v>45587</v>
      </c>
      <c r="E174" s="8"/>
      <c r="F174" s="8"/>
      <c r="G174" s="8" t="s">
        <v>11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 t="s">
        <v>1927</v>
      </c>
    </row>
    <row r="175" customFormat="false" ht="15" hidden="false" customHeight="false" outlineLevel="0" collapsed="false">
      <c r="A175" s="7" t="s">
        <v>2029</v>
      </c>
      <c r="B175" s="8" t="s">
        <v>1368</v>
      </c>
      <c r="C175" s="8" t="s">
        <v>85</v>
      </c>
      <c r="D175" s="9" t="n">
        <v>45589</v>
      </c>
      <c r="E175" s="8"/>
      <c r="F175" s="8"/>
      <c r="G175" s="8" t="s">
        <v>11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 t="s">
        <v>2030</v>
      </c>
    </row>
    <row r="176" customFormat="false" ht="15" hidden="false" customHeight="false" outlineLevel="0" collapsed="false">
      <c r="A176" s="7" t="s">
        <v>2031</v>
      </c>
      <c r="B176" s="8" t="s">
        <v>1368</v>
      </c>
      <c r="C176" s="8" t="s">
        <v>41</v>
      </c>
      <c r="D176" s="9" t="n">
        <v>45589</v>
      </c>
      <c r="E176" s="8"/>
      <c r="F176" s="8"/>
      <c r="G176" s="8" t="s">
        <v>11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11" t="s">
        <v>1836</v>
      </c>
    </row>
    <row r="177" customFormat="false" ht="15" hidden="false" customHeight="false" outlineLevel="0" collapsed="false">
      <c r="A177" s="7" t="s">
        <v>2032</v>
      </c>
      <c r="B177" s="8" t="s">
        <v>1370</v>
      </c>
      <c r="C177" s="8" t="s">
        <v>81</v>
      </c>
      <c r="D177" s="9" t="n">
        <v>45590</v>
      </c>
      <c r="E177" s="8"/>
      <c r="F177" s="8"/>
      <c r="G177" s="8" t="s">
        <v>11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 t="s">
        <v>1911</v>
      </c>
    </row>
    <row r="178" customFormat="false" ht="15" hidden="false" customHeight="false" outlineLevel="0" collapsed="false">
      <c r="A178" s="7" t="s">
        <v>2033</v>
      </c>
      <c r="B178" s="8" t="s">
        <v>1372</v>
      </c>
      <c r="C178" s="8" t="s">
        <v>41</v>
      </c>
      <c r="D178" s="9" t="n">
        <v>45590</v>
      </c>
      <c r="E178" s="8"/>
      <c r="F178" s="8"/>
      <c r="G178" s="8" t="s">
        <v>11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 t="s">
        <v>1859</v>
      </c>
    </row>
    <row r="179" customFormat="false" ht="15" hidden="false" customHeight="false" outlineLevel="0" collapsed="false">
      <c r="A179" s="7" t="s">
        <v>2034</v>
      </c>
      <c r="B179" s="8" t="s">
        <v>1374</v>
      </c>
      <c r="C179" s="8" t="s">
        <v>55</v>
      </c>
      <c r="D179" s="9" t="n">
        <v>45590</v>
      </c>
      <c r="E179" s="8"/>
      <c r="F179" s="8"/>
      <c r="G179" s="8" t="s">
        <v>11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 t="s">
        <v>2009</v>
      </c>
    </row>
    <row r="180" customFormat="false" ht="15" hidden="false" customHeight="false" outlineLevel="0" collapsed="false">
      <c r="A180" s="7" t="s">
        <v>2035</v>
      </c>
      <c r="B180" s="8" t="s">
        <v>1376</v>
      </c>
      <c r="C180" s="8" t="s">
        <v>81</v>
      </c>
      <c r="D180" s="9" t="n">
        <v>45593</v>
      </c>
      <c r="E180" s="8"/>
      <c r="F180" s="8"/>
      <c r="G180" s="8" t="s">
        <v>11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 t="s">
        <v>1911</v>
      </c>
    </row>
    <row r="181" customFormat="false" ht="15" hidden="false" customHeight="false" outlineLevel="0" collapsed="false">
      <c r="A181" s="7" t="s">
        <v>2036</v>
      </c>
      <c r="B181" s="8" t="s">
        <v>1378</v>
      </c>
      <c r="C181" s="8" t="s">
        <v>55</v>
      </c>
      <c r="D181" s="9" t="n">
        <v>45593</v>
      </c>
      <c r="E181" s="8"/>
      <c r="F181" s="8"/>
      <c r="G181" s="8" t="s">
        <v>11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 t="s">
        <v>2009</v>
      </c>
    </row>
    <row r="182" customFormat="false" ht="15" hidden="false" customHeight="false" outlineLevel="0" collapsed="false">
      <c r="A182" s="7" t="s">
        <v>2037</v>
      </c>
      <c r="B182" s="8" t="s">
        <v>1380</v>
      </c>
      <c r="C182" s="8" t="s">
        <v>81</v>
      </c>
      <c r="D182" s="9" t="n">
        <v>45595</v>
      </c>
      <c r="E182" s="8"/>
      <c r="F182" s="8"/>
      <c r="G182" s="8" t="s">
        <v>11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 t="s">
        <v>1911</v>
      </c>
    </row>
    <row r="183" customFormat="false" ht="15" hidden="false" customHeight="false" outlineLevel="0" collapsed="false">
      <c r="A183" s="7" t="s">
        <v>2038</v>
      </c>
      <c r="B183" s="8" t="s">
        <v>1382</v>
      </c>
      <c r="C183" s="8" t="s">
        <v>81</v>
      </c>
      <c r="D183" s="9" t="n">
        <v>45595</v>
      </c>
      <c r="E183" s="8"/>
      <c r="F183" s="8"/>
      <c r="G183" s="8" t="s">
        <v>11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 t="s">
        <v>2039</v>
      </c>
    </row>
    <row r="184" customFormat="false" ht="15" hidden="false" customHeight="false" outlineLevel="0" collapsed="false">
      <c r="A184" s="7" t="s">
        <v>2040</v>
      </c>
      <c r="B184" s="8" t="s">
        <v>1384</v>
      </c>
      <c r="C184" s="8" t="s">
        <v>89</v>
      </c>
      <c r="D184" s="9" t="n">
        <v>45601</v>
      </c>
      <c r="E184" s="8"/>
      <c r="F184" s="8"/>
      <c r="G184" s="8" t="s">
        <v>11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 t="s">
        <v>1856</v>
      </c>
    </row>
    <row r="185" customFormat="false" ht="15" hidden="false" customHeight="false" outlineLevel="0" collapsed="false">
      <c r="A185" s="7" t="s">
        <v>2041</v>
      </c>
      <c r="B185" s="8" t="s">
        <v>1386</v>
      </c>
      <c r="C185" s="8" t="s">
        <v>81</v>
      </c>
      <c r="D185" s="9" t="n">
        <v>45597</v>
      </c>
      <c r="E185" s="8"/>
      <c r="F185" s="8"/>
      <c r="G185" s="8" t="s">
        <v>11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 t="s">
        <v>1911</v>
      </c>
    </row>
    <row r="186" customFormat="false" ht="15" hidden="false" customHeight="false" outlineLevel="0" collapsed="false">
      <c r="A186" s="7" t="s">
        <v>2042</v>
      </c>
      <c r="B186" s="8" t="s">
        <v>1388</v>
      </c>
      <c r="C186" s="8" t="s">
        <v>89</v>
      </c>
      <c r="D186" s="9" t="n">
        <v>45602</v>
      </c>
      <c r="E186" s="8"/>
      <c r="F186" s="8"/>
      <c r="G186" s="8" t="s">
        <v>11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 t="s">
        <v>1856</v>
      </c>
    </row>
    <row r="187" customFormat="false" ht="15" hidden="false" customHeight="false" outlineLevel="0" collapsed="false">
      <c r="A187" s="7" t="s">
        <v>2043</v>
      </c>
      <c r="B187" s="8" t="s">
        <v>1390</v>
      </c>
      <c r="C187" s="8" t="s">
        <v>41</v>
      </c>
      <c r="D187" s="9" t="n">
        <v>45602</v>
      </c>
      <c r="E187" s="8"/>
      <c r="F187" s="8"/>
      <c r="G187" s="8" t="s">
        <v>11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 t="s">
        <v>1859</v>
      </c>
    </row>
    <row r="188" customFormat="false" ht="15" hidden="false" customHeight="false" outlineLevel="0" collapsed="false">
      <c r="A188" s="7" t="s">
        <v>2044</v>
      </c>
      <c r="B188" s="8" t="s">
        <v>1392</v>
      </c>
      <c r="C188" s="8" t="s">
        <v>89</v>
      </c>
      <c r="D188" s="9" t="n">
        <v>45607</v>
      </c>
      <c r="E188" s="8"/>
      <c r="F188" s="8"/>
      <c r="G188" s="8" t="s">
        <v>11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 t="s">
        <v>1856</v>
      </c>
    </row>
    <row r="189" customFormat="false" ht="15" hidden="false" customHeight="false" outlineLevel="0" collapsed="false">
      <c r="A189" s="7" t="s">
        <v>2045</v>
      </c>
      <c r="B189" s="8" t="s">
        <v>1394</v>
      </c>
      <c r="C189" s="8" t="s">
        <v>89</v>
      </c>
      <c r="D189" s="9" t="n">
        <v>45608</v>
      </c>
      <c r="E189" s="8"/>
      <c r="F189" s="8"/>
      <c r="G189" s="8" t="s">
        <v>11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 t="s">
        <v>1856</v>
      </c>
    </row>
    <row r="190" customFormat="false" ht="15" hidden="false" customHeight="false" outlineLevel="0" collapsed="false">
      <c r="A190" s="7" t="s">
        <v>2046</v>
      </c>
      <c r="B190" s="8" t="s">
        <v>1396</v>
      </c>
      <c r="C190" s="8" t="s">
        <v>89</v>
      </c>
      <c r="D190" s="9" t="n">
        <v>45608</v>
      </c>
      <c r="E190" s="8"/>
      <c r="F190" s="8"/>
      <c r="G190" s="8" t="s">
        <v>11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 t="s">
        <v>1856</v>
      </c>
    </row>
    <row r="191" customFormat="false" ht="15" hidden="false" customHeight="false" outlineLevel="0" collapsed="false">
      <c r="A191" s="7" t="s">
        <v>2047</v>
      </c>
      <c r="B191" s="8" t="s">
        <v>1398</v>
      </c>
      <c r="C191" s="8" t="s">
        <v>81</v>
      </c>
      <c r="D191" s="9" t="n">
        <v>45608</v>
      </c>
      <c r="E191" s="8"/>
      <c r="F191" s="8"/>
      <c r="G191" s="8" t="s">
        <v>11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 t="s">
        <v>1911</v>
      </c>
    </row>
    <row r="192" customFormat="false" ht="15" hidden="false" customHeight="false" outlineLevel="0" collapsed="false">
      <c r="A192" s="7" t="s">
        <v>2048</v>
      </c>
      <c r="B192" s="8" t="s">
        <v>1398</v>
      </c>
      <c r="C192" s="8" t="s">
        <v>89</v>
      </c>
      <c r="D192" s="9" t="n">
        <v>45608</v>
      </c>
      <c r="E192" s="8"/>
      <c r="F192" s="8"/>
      <c r="G192" s="8" t="s">
        <v>11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 t="s">
        <v>1856</v>
      </c>
    </row>
    <row r="193" customFormat="false" ht="15" hidden="false" customHeight="false" outlineLevel="0" collapsed="false">
      <c r="A193" s="7" t="s">
        <v>2049</v>
      </c>
      <c r="B193" s="8" t="s">
        <v>1400</v>
      </c>
      <c r="C193" s="8" t="s">
        <v>81</v>
      </c>
      <c r="D193" s="9" t="n">
        <v>45609</v>
      </c>
      <c r="E193" s="8"/>
      <c r="F193" s="8"/>
      <c r="G193" s="8" t="s">
        <v>11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 t="s">
        <v>1911</v>
      </c>
    </row>
    <row r="194" customFormat="false" ht="15" hidden="false" customHeight="false" outlineLevel="0" collapsed="false">
      <c r="A194" s="7" t="s">
        <v>2050</v>
      </c>
      <c r="B194" s="8" t="s">
        <v>1400</v>
      </c>
      <c r="C194" s="8" t="s">
        <v>89</v>
      </c>
      <c r="D194" s="9" t="n">
        <v>45609</v>
      </c>
      <c r="E194" s="8"/>
      <c r="F194" s="8"/>
      <c r="G194" s="8" t="s">
        <v>11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 t="s">
        <v>1856</v>
      </c>
    </row>
    <row r="195" customFormat="false" ht="15" hidden="false" customHeight="false" outlineLevel="0" collapsed="false">
      <c r="A195" s="7" t="s">
        <v>2051</v>
      </c>
      <c r="B195" s="8" t="s">
        <v>1402</v>
      </c>
      <c r="C195" s="8" t="s">
        <v>81</v>
      </c>
      <c r="D195" s="9" t="n">
        <v>45609</v>
      </c>
      <c r="E195" s="8"/>
      <c r="F195" s="8"/>
      <c r="G195" s="8" t="s">
        <v>11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 t="s">
        <v>1911</v>
      </c>
    </row>
    <row r="196" customFormat="false" ht="15" hidden="false" customHeight="false" outlineLevel="0" collapsed="false">
      <c r="A196" s="7" t="s">
        <v>2052</v>
      </c>
      <c r="B196" s="8" t="s">
        <v>1402</v>
      </c>
      <c r="C196" s="8" t="s">
        <v>89</v>
      </c>
      <c r="D196" s="9" t="n">
        <v>45609</v>
      </c>
      <c r="E196" s="8"/>
      <c r="F196" s="8"/>
      <c r="G196" s="8" t="s">
        <v>11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 t="s">
        <v>1856</v>
      </c>
    </row>
    <row r="197" customFormat="false" ht="15" hidden="false" customHeight="false" outlineLevel="0" collapsed="false">
      <c r="A197" s="7" t="s">
        <v>2053</v>
      </c>
      <c r="B197" s="8" t="s">
        <v>1404</v>
      </c>
      <c r="C197" s="8" t="s">
        <v>81</v>
      </c>
      <c r="D197" s="9" t="n">
        <v>45609</v>
      </c>
      <c r="E197" s="8"/>
      <c r="F197" s="8"/>
      <c r="G197" s="8" t="s">
        <v>11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 t="s">
        <v>1911</v>
      </c>
    </row>
    <row r="198" customFormat="false" ht="15" hidden="false" customHeight="false" outlineLevel="0" collapsed="false">
      <c r="A198" s="7" t="s">
        <v>2054</v>
      </c>
      <c r="B198" s="8" t="s">
        <v>1404</v>
      </c>
      <c r="C198" s="8" t="s">
        <v>89</v>
      </c>
      <c r="D198" s="9" t="n">
        <v>45609</v>
      </c>
      <c r="E198" s="8"/>
      <c r="F198" s="8"/>
      <c r="G198" s="8" t="s">
        <v>11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 t="s">
        <v>1856</v>
      </c>
    </row>
    <row r="199" customFormat="false" ht="15" hidden="false" customHeight="false" outlineLevel="0" collapsed="false">
      <c r="A199" s="7" t="s">
        <v>2055</v>
      </c>
      <c r="B199" s="8" t="s">
        <v>1406</v>
      </c>
      <c r="C199" s="8" t="s">
        <v>89</v>
      </c>
      <c r="D199" s="9" t="n">
        <v>45610</v>
      </c>
      <c r="E199" s="8"/>
      <c r="F199" s="8"/>
      <c r="G199" s="8" t="s">
        <v>11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 t="s">
        <v>1856</v>
      </c>
    </row>
    <row r="200" customFormat="false" ht="15" hidden="false" customHeight="false" outlineLevel="0" collapsed="false">
      <c r="A200" s="7" t="s">
        <v>2056</v>
      </c>
      <c r="B200" s="8" t="s">
        <v>1408</v>
      </c>
      <c r="C200" s="8" t="s">
        <v>89</v>
      </c>
      <c r="D200" s="9" t="n">
        <v>45610</v>
      </c>
      <c r="E200" s="8"/>
      <c r="F200" s="8"/>
      <c r="G200" s="8" t="s">
        <v>11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 t="s">
        <v>1856</v>
      </c>
    </row>
    <row r="201" customFormat="false" ht="15" hidden="false" customHeight="false" outlineLevel="0" collapsed="false">
      <c r="A201" s="7" t="s">
        <v>2057</v>
      </c>
      <c r="B201" s="8" t="s">
        <v>1410</v>
      </c>
      <c r="C201" s="8" t="s">
        <v>89</v>
      </c>
      <c r="D201" s="9" t="n">
        <v>45611</v>
      </c>
      <c r="E201" s="8"/>
      <c r="F201" s="8"/>
      <c r="G201" s="8" t="s">
        <v>11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 t="s">
        <v>1856</v>
      </c>
    </row>
    <row r="202" customFormat="false" ht="15" hidden="false" customHeight="false" outlineLevel="0" collapsed="false">
      <c r="A202" s="7" t="s">
        <v>2058</v>
      </c>
      <c r="B202" s="8" t="s">
        <v>1412</v>
      </c>
      <c r="C202" s="8" t="s">
        <v>89</v>
      </c>
      <c r="D202" s="9" t="n">
        <v>45611</v>
      </c>
      <c r="E202" s="8"/>
      <c r="F202" s="8"/>
      <c r="G202" s="8" t="s">
        <v>11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 t="s">
        <v>1856</v>
      </c>
    </row>
    <row r="203" customFormat="false" ht="15" hidden="false" customHeight="false" outlineLevel="0" collapsed="false">
      <c r="A203" s="7" t="s">
        <v>2059</v>
      </c>
      <c r="B203" s="8" t="s">
        <v>1414</v>
      </c>
      <c r="C203" s="8" t="s">
        <v>89</v>
      </c>
      <c r="D203" s="9" t="n">
        <v>45617</v>
      </c>
      <c r="E203" s="8"/>
      <c r="F203" s="8"/>
      <c r="G203" s="8" t="s">
        <v>11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 t="s">
        <v>1856</v>
      </c>
    </row>
    <row r="204" customFormat="false" ht="15" hidden="false" customHeight="false" outlineLevel="0" collapsed="false">
      <c r="A204" s="7" t="s">
        <v>2060</v>
      </c>
      <c r="B204" s="8" t="s">
        <v>1416</v>
      </c>
      <c r="C204" s="8" t="s">
        <v>89</v>
      </c>
      <c r="D204" s="9" t="n">
        <v>45625</v>
      </c>
      <c r="E204" s="8"/>
      <c r="F204" s="8"/>
      <c r="G204" s="8" t="s">
        <v>11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 t="s">
        <v>1856</v>
      </c>
    </row>
    <row r="205" customFormat="false" ht="15" hidden="false" customHeight="false" outlineLevel="0" collapsed="false">
      <c r="A205" s="7" t="s">
        <v>2061</v>
      </c>
      <c r="B205" s="8" t="s">
        <v>1418</v>
      </c>
      <c r="C205" s="8" t="s">
        <v>89</v>
      </c>
      <c r="D205" s="9" t="n">
        <v>45625</v>
      </c>
      <c r="E205" s="8"/>
      <c r="F205" s="8"/>
      <c r="G205" s="8" t="s">
        <v>11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 t="s">
        <v>1856</v>
      </c>
    </row>
    <row r="206" customFormat="false" ht="15" hidden="false" customHeight="false" outlineLevel="0" collapsed="false">
      <c r="A206" s="7" t="s">
        <v>2062</v>
      </c>
      <c r="B206" s="8" t="s">
        <v>1420</v>
      </c>
      <c r="C206" s="8" t="s">
        <v>89</v>
      </c>
      <c r="D206" s="9" t="n">
        <v>45628</v>
      </c>
      <c r="E206" s="8"/>
      <c r="F206" s="8"/>
      <c r="G206" s="8" t="s">
        <v>11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 t="s">
        <v>1856</v>
      </c>
    </row>
    <row r="207" customFormat="false" ht="15" hidden="false" customHeight="false" outlineLevel="0" collapsed="false">
      <c r="A207" s="7" t="s">
        <v>2063</v>
      </c>
      <c r="B207" s="8" t="s">
        <v>1422</v>
      </c>
      <c r="C207" s="8" t="s">
        <v>89</v>
      </c>
      <c r="D207" s="9" t="n">
        <v>45629</v>
      </c>
      <c r="E207" s="8"/>
      <c r="F207" s="8"/>
      <c r="G207" s="8" t="s">
        <v>11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 t="s">
        <v>1856</v>
      </c>
    </row>
    <row r="208" customFormat="false" ht="15" hidden="false" customHeight="false" outlineLevel="0" collapsed="false">
      <c r="A208" s="7" t="s">
        <v>2064</v>
      </c>
      <c r="B208" s="8" t="s">
        <v>1424</v>
      </c>
      <c r="C208" s="8" t="s">
        <v>89</v>
      </c>
      <c r="D208" s="9" t="n">
        <v>45629</v>
      </c>
      <c r="E208" s="8"/>
      <c r="F208" s="8"/>
      <c r="G208" s="8" t="s">
        <v>11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 t="s">
        <v>1856</v>
      </c>
    </row>
    <row r="209" customFormat="false" ht="15" hidden="false" customHeight="false" outlineLevel="0" collapsed="false">
      <c r="A209" s="7" t="s">
        <v>2065</v>
      </c>
      <c r="B209" s="8" t="s">
        <v>1426</v>
      </c>
      <c r="C209" s="8" t="s">
        <v>89</v>
      </c>
      <c r="D209" s="9" t="n">
        <v>45630</v>
      </c>
      <c r="E209" s="8"/>
      <c r="F209" s="8"/>
      <c r="G209" s="8" t="s">
        <v>11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 t="s">
        <v>1856</v>
      </c>
    </row>
    <row r="210" customFormat="false" ht="15" hidden="false" customHeight="false" outlineLevel="0" collapsed="false">
      <c r="A210" s="7" t="s">
        <v>2066</v>
      </c>
      <c r="B210" s="8" t="s">
        <v>1428</v>
      </c>
      <c r="C210" s="8" t="s">
        <v>89</v>
      </c>
      <c r="D210" s="9" t="n">
        <v>45635</v>
      </c>
      <c r="E210" s="8"/>
      <c r="F210" s="8"/>
      <c r="G210" s="8" t="s">
        <v>11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 t="s">
        <v>1856</v>
      </c>
    </row>
    <row r="211" customFormat="false" ht="15" hidden="false" customHeight="false" outlineLevel="0" collapsed="false">
      <c r="A211" s="7" t="s">
        <v>2067</v>
      </c>
      <c r="B211" s="8" t="s">
        <v>1430</v>
      </c>
      <c r="C211" s="8" t="s">
        <v>89</v>
      </c>
      <c r="D211" s="9" t="n">
        <v>45635</v>
      </c>
      <c r="E211" s="8"/>
      <c r="F211" s="8"/>
      <c r="G211" s="8" t="s">
        <v>11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 t="s">
        <v>1856</v>
      </c>
    </row>
    <row r="212" customFormat="false" ht="15" hidden="false" customHeight="false" outlineLevel="0" collapsed="false">
      <c r="A212" s="7" t="s">
        <v>2068</v>
      </c>
      <c r="B212" s="8" t="s">
        <v>1432</v>
      </c>
      <c r="C212" s="8" t="s">
        <v>89</v>
      </c>
      <c r="D212" s="9" t="n">
        <v>45636</v>
      </c>
      <c r="E212" s="8"/>
      <c r="F212" s="8"/>
      <c r="G212" s="8" t="s">
        <v>11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 t="s">
        <v>1856</v>
      </c>
    </row>
    <row r="213" customFormat="false" ht="15" hidden="false" customHeight="false" outlineLevel="0" collapsed="false">
      <c r="A213" s="7" t="s">
        <v>2069</v>
      </c>
      <c r="B213" s="8" t="s">
        <v>1434</v>
      </c>
      <c r="C213" s="8" t="s">
        <v>89</v>
      </c>
      <c r="D213" s="9" t="n">
        <v>45637</v>
      </c>
      <c r="E213" s="8"/>
      <c r="F213" s="8"/>
      <c r="G213" s="8" t="s">
        <v>11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 t="s">
        <v>1856</v>
      </c>
    </row>
    <row r="214" customFormat="false" ht="15" hidden="false" customHeight="false" outlineLevel="0" collapsed="false">
      <c r="A214" s="7" t="s">
        <v>2070</v>
      </c>
      <c r="B214" s="8" t="s">
        <v>1436</v>
      </c>
      <c r="C214" s="8" t="s">
        <v>89</v>
      </c>
      <c r="D214" s="9" t="n">
        <v>45638</v>
      </c>
      <c r="E214" s="8"/>
      <c r="F214" s="8"/>
      <c r="G214" s="8" t="s">
        <v>11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 t="s">
        <v>1856</v>
      </c>
    </row>
    <row r="215" customFormat="false" ht="15" hidden="false" customHeight="false" outlineLevel="0" collapsed="false">
      <c r="A215" s="7" t="s">
        <v>2071</v>
      </c>
      <c r="B215" s="8" t="s">
        <v>1438</v>
      </c>
      <c r="C215" s="8" t="s">
        <v>89</v>
      </c>
      <c r="D215" s="9" t="n">
        <v>45638</v>
      </c>
      <c r="E215" s="8"/>
      <c r="F215" s="8"/>
      <c r="G215" s="8" t="s">
        <v>11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 t="s">
        <v>1856</v>
      </c>
    </row>
    <row r="216" customFormat="false" ht="15" hidden="false" customHeight="false" outlineLevel="0" collapsed="false">
      <c r="A216" s="7" t="s">
        <v>2072</v>
      </c>
      <c r="B216" s="8" t="s">
        <v>1440</v>
      </c>
      <c r="C216" s="8" t="s">
        <v>89</v>
      </c>
      <c r="D216" s="9" t="n">
        <v>45639</v>
      </c>
      <c r="E216" s="8"/>
      <c r="F216" s="8"/>
      <c r="G216" s="8" t="s">
        <v>11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 t="s">
        <v>1856</v>
      </c>
    </row>
    <row r="217" customFormat="false" ht="15" hidden="false" customHeight="false" outlineLevel="0" collapsed="false">
      <c r="A217" s="7" t="s">
        <v>2073</v>
      </c>
      <c r="B217" s="8" t="s">
        <v>1442</v>
      </c>
      <c r="C217" s="8" t="s">
        <v>89</v>
      </c>
      <c r="D217" s="9" t="n">
        <v>45639</v>
      </c>
      <c r="E217" s="8"/>
      <c r="F217" s="8"/>
      <c r="G217" s="8" t="s">
        <v>11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 t="s">
        <v>1856</v>
      </c>
    </row>
    <row r="218" customFormat="false" ht="15" hidden="false" customHeight="false" outlineLevel="0" collapsed="false">
      <c r="A218" s="7" t="s">
        <v>2074</v>
      </c>
      <c r="B218" s="8" t="s">
        <v>1444</v>
      </c>
      <c r="C218" s="8" t="s">
        <v>93</v>
      </c>
      <c r="D218" s="9" t="n">
        <v>45652</v>
      </c>
      <c r="E218" s="8"/>
      <c r="F218" s="8"/>
      <c r="G218" s="8" t="s">
        <v>11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 t="s">
        <v>1952</v>
      </c>
    </row>
    <row r="219" customFormat="false" ht="15" hidden="false" customHeight="false" outlineLevel="0" collapsed="false">
      <c r="A219" s="7" t="s">
        <v>2075</v>
      </c>
      <c r="B219" s="8" t="s">
        <v>1446</v>
      </c>
      <c r="C219" s="8" t="s">
        <v>93</v>
      </c>
      <c r="D219" s="9" t="n">
        <v>45664</v>
      </c>
      <c r="E219" s="8"/>
      <c r="F219" s="8"/>
      <c r="G219" s="8" t="s">
        <v>11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 t="s">
        <v>1952</v>
      </c>
    </row>
    <row r="220" customFormat="false" ht="15" hidden="false" customHeight="false" outlineLevel="0" collapsed="false">
      <c r="A220" s="7" t="s">
        <v>2076</v>
      </c>
      <c r="B220" s="8" t="s">
        <v>1448</v>
      </c>
      <c r="C220" s="8" t="s">
        <v>93</v>
      </c>
      <c r="D220" s="9" t="n">
        <v>45664</v>
      </c>
      <c r="E220" s="8"/>
      <c r="F220" s="8"/>
      <c r="G220" s="8" t="s">
        <v>11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 t="s">
        <v>1952</v>
      </c>
    </row>
    <row r="221" customFormat="false" ht="15" hidden="false" customHeight="false" outlineLevel="0" collapsed="false">
      <c r="A221" s="7" t="s">
        <v>2077</v>
      </c>
      <c r="B221" s="8" t="s">
        <v>1450</v>
      </c>
      <c r="C221" s="8" t="s">
        <v>95</v>
      </c>
      <c r="D221" s="9" t="n">
        <v>45667</v>
      </c>
      <c r="E221" s="8"/>
      <c r="F221" s="8"/>
      <c r="G221" s="8" t="s">
        <v>11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 t="s">
        <v>2078</v>
      </c>
    </row>
    <row r="222" customFormat="false" ht="15" hidden="false" customHeight="false" outlineLevel="0" collapsed="false">
      <c r="A222" s="7" t="s">
        <v>2079</v>
      </c>
      <c r="B222" s="8" t="s">
        <v>1452</v>
      </c>
      <c r="C222" s="8" t="s">
        <v>78</v>
      </c>
      <c r="D222" s="9" t="n">
        <v>45671</v>
      </c>
      <c r="E222" s="8"/>
      <c r="F222" s="8"/>
      <c r="G222" s="8" t="s">
        <v>11</v>
      </c>
      <c r="H222" s="8"/>
      <c r="I222" s="8"/>
      <c r="J222" s="8" t="s">
        <v>1985</v>
      </c>
      <c r="K222" s="8"/>
      <c r="L222" s="8"/>
      <c r="M222" s="8"/>
      <c r="N222" s="8"/>
      <c r="O222" s="8"/>
      <c r="P222" s="8"/>
      <c r="Q222" s="8"/>
      <c r="R222" s="8"/>
      <c r="S222" s="8" t="s">
        <v>1934</v>
      </c>
    </row>
    <row r="223" customFormat="false" ht="15" hidden="false" customHeight="false" outlineLevel="0" collapsed="false">
      <c r="A223" s="7" t="s">
        <v>2080</v>
      </c>
      <c r="B223" s="8" t="s">
        <v>1452</v>
      </c>
      <c r="C223" s="8" t="s">
        <v>41</v>
      </c>
      <c r="D223" s="9" t="n">
        <v>45693</v>
      </c>
      <c r="E223" s="8"/>
      <c r="F223" s="8"/>
      <c r="G223" s="8" t="s">
        <v>11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11" t="s">
        <v>1836</v>
      </c>
    </row>
    <row r="224" customFormat="false" ht="15" hidden="false" customHeight="false" outlineLevel="0" collapsed="false">
      <c r="A224" s="7" t="s">
        <v>2081</v>
      </c>
      <c r="B224" s="8" t="s">
        <v>1454</v>
      </c>
      <c r="C224" s="8" t="s">
        <v>91</v>
      </c>
      <c r="D224" s="9" t="n">
        <v>45672</v>
      </c>
      <c r="E224" s="8"/>
      <c r="F224" s="8"/>
      <c r="G224" s="8" t="s">
        <v>11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 t="s">
        <v>2082</v>
      </c>
    </row>
    <row r="225" customFormat="false" ht="15" hidden="false" customHeight="false" outlineLevel="0" collapsed="false">
      <c r="A225" s="7" t="s">
        <v>2083</v>
      </c>
      <c r="B225" s="8" t="s">
        <v>1455</v>
      </c>
      <c r="C225" s="8" t="s">
        <v>91</v>
      </c>
      <c r="D225" s="9" t="n">
        <v>45674</v>
      </c>
      <c r="E225" s="8"/>
      <c r="F225" s="8"/>
      <c r="G225" s="8" t="s">
        <v>11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 t="s">
        <v>2082</v>
      </c>
    </row>
    <row r="226" customFormat="false" ht="15" hidden="false" customHeight="false" outlineLevel="0" collapsed="false">
      <c r="A226" s="7" t="s">
        <v>2084</v>
      </c>
      <c r="B226" s="8" t="s">
        <v>1457</v>
      </c>
      <c r="C226" s="8" t="s">
        <v>91</v>
      </c>
      <c r="D226" s="9" t="n">
        <v>45677</v>
      </c>
      <c r="E226" s="8"/>
      <c r="F226" s="8"/>
      <c r="G226" s="8" t="s">
        <v>11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 t="s">
        <v>2082</v>
      </c>
    </row>
    <row r="227" customFormat="false" ht="15" hidden="false" customHeight="false" outlineLevel="0" collapsed="false">
      <c r="A227" s="7" t="s">
        <v>2085</v>
      </c>
      <c r="B227" s="8" t="s">
        <v>1457</v>
      </c>
      <c r="C227" s="8" t="s">
        <v>41</v>
      </c>
      <c r="D227" s="9" t="n">
        <v>45677</v>
      </c>
      <c r="E227" s="8"/>
      <c r="F227" s="8"/>
      <c r="G227" s="8" t="s">
        <v>11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11" t="s">
        <v>1836</v>
      </c>
    </row>
    <row r="228" customFormat="false" ht="15" hidden="false" customHeight="false" outlineLevel="0" collapsed="false">
      <c r="A228" s="7" t="s">
        <v>2086</v>
      </c>
      <c r="B228" s="8" t="s">
        <v>1459</v>
      </c>
      <c r="C228" s="8" t="s">
        <v>81</v>
      </c>
      <c r="D228" s="9" t="n">
        <v>45680</v>
      </c>
      <c r="E228" s="8"/>
      <c r="F228" s="8"/>
      <c r="G228" s="8" t="s">
        <v>11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 t="s">
        <v>2087</v>
      </c>
    </row>
    <row r="229" customFormat="false" ht="15" hidden="false" customHeight="false" outlineLevel="0" collapsed="false">
      <c r="A229" s="7" t="s">
        <v>2088</v>
      </c>
      <c r="B229" s="8" t="s">
        <v>1460</v>
      </c>
      <c r="C229" s="8" t="s">
        <v>55</v>
      </c>
      <c r="D229" s="9" t="n">
        <v>45684</v>
      </c>
      <c r="E229" s="8"/>
      <c r="F229" s="8"/>
      <c r="G229" s="8" t="s">
        <v>11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 t="s">
        <v>2009</v>
      </c>
    </row>
    <row r="230" customFormat="false" ht="15" hidden="false" customHeight="false" outlineLevel="0" collapsed="false">
      <c r="A230" s="7" t="s">
        <v>2089</v>
      </c>
      <c r="B230" s="8" t="s">
        <v>1462</v>
      </c>
      <c r="C230" s="8" t="s">
        <v>81</v>
      </c>
      <c r="D230" s="9" t="n">
        <v>45684</v>
      </c>
      <c r="E230" s="8"/>
      <c r="F230" s="8"/>
      <c r="G230" s="8" t="s">
        <v>11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 t="s">
        <v>2090</v>
      </c>
    </row>
    <row r="231" customFormat="false" ht="15" hidden="false" customHeight="false" outlineLevel="0" collapsed="false">
      <c r="A231" s="7" t="s">
        <v>2091</v>
      </c>
      <c r="B231" s="8" t="s">
        <v>1463</v>
      </c>
      <c r="C231" s="8" t="s">
        <v>81</v>
      </c>
      <c r="D231" s="9" t="n">
        <v>45684</v>
      </c>
      <c r="E231" s="8"/>
      <c r="F231" s="8"/>
      <c r="G231" s="8" t="s">
        <v>11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 t="s">
        <v>2090</v>
      </c>
    </row>
    <row r="232" customFormat="false" ht="15" hidden="false" customHeight="false" outlineLevel="0" collapsed="false">
      <c r="A232" s="7" t="s">
        <v>2092</v>
      </c>
      <c r="B232" s="8" t="s">
        <v>1464</v>
      </c>
      <c r="C232" s="8" t="s">
        <v>55</v>
      </c>
      <c r="D232" s="9" t="n">
        <v>45685</v>
      </c>
      <c r="E232" s="8"/>
      <c r="F232" s="8"/>
      <c r="G232" s="8" t="s">
        <v>11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 t="s">
        <v>2009</v>
      </c>
    </row>
    <row r="233" customFormat="false" ht="15" hidden="false" customHeight="false" outlineLevel="0" collapsed="false">
      <c r="A233" s="7" t="s">
        <v>2093</v>
      </c>
      <c r="B233" s="8" t="s">
        <v>1489</v>
      </c>
      <c r="C233" s="8" t="s">
        <v>55</v>
      </c>
      <c r="D233" s="9" t="n">
        <v>45693</v>
      </c>
      <c r="E233" s="8"/>
      <c r="F233" s="8"/>
      <c r="G233" s="8" t="s">
        <v>11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 t="s">
        <v>2009</v>
      </c>
    </row>
    <row r="234" customFormat="false" ht="15" hidden="false" customHeight="false" outlineLevel="0" collapsed="false">
      <c r="A234" s="7" t="s">
        <v>2094</v>
      </c>
      <c r="B234" s="8" t="s">
        <v>1491</v>
      </c>
      <c r="C234" s="8" t="s">
        <v>55</v>
      </c>
      <c r="D234" s="9" t="n">
        <v>45694</v>
      </c>
      <c r="E234" s="8"/>
      <c r="F234" s="8"/>
      <c r="G234" s="8" t="s">
        <v>11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 t="s">
        <v>2009</v>
      </c>
    </row>
    <row r="235" customFormat="false" ht="15" hidden="false" customHeight="false" outlineLevel="0" collapsed="false">
      <c r="A235" s="7" t="s">
        <v>2095</v>
      </c>
      <c r="B235" s="8" t="s">
        <v>1493</v>
      </c>
      <c r="C235" s="8" t="s">
        <v>55</v>
      </c>
      <c r="D235" s="9" t="n">
        <v>45701</v>
      </c>
      <c r="E235" s="8"/>
      <c r="F235" s="8"/>
      <c r="G235" s="8" t="s">
        <v>11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 t="s">
        <v>2009</v>
      </c>
    </row>
    <row r="236" customFormat="false" ht="15" hidden="false" customHeight="false" outlineLevel="0" collapsed="false">
      <c r="A236" s="7" t="s">
        <v>2096</v>
      </c>
      <c r="B236" s="8" t="s">
        <v>1496</v>
      </c>
      <c r="C236" s="8" t="s">
        <v>81</v>
      </c>
      <c r="D236" s="9" t="n">
        <v>45705</v>
      </c>
      <c r="E236" s="8"/>
      <c r="F236" s="8"/>
      <c r="G236" s="8" t="s">
        <v>11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 t="s">
        <v>1911</v>
      </c>
    </row>
    <row r="237" customFormat="false" ht="15" hidden="false" customHeight="false" outlineLevel="0" collapsed="false">
      <c r="A237" s="7" t="s">
        <v>2097</v>
      </c>
      <c r="B237" s="8" t="s">
        <v>1497</v>
      </c>
      <c r="C237" s="8" t="s">
        <v>81</v>
      </c>
      <c r="D237" s="9" t="n">
        <v>45705</v>
      </c>
      <c r="E237" s="8"/>
      <c r="F237" s="8"/>
      <c r="G237" s="8" t="s">
        <v>11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 t="s">
        <v>1911</v>
      </c>
    </row>
    <row r="238" customFormat="false" ht="15" hidden="false" customHeight="false" outlineLevel="0" collapsed="false">
      <c r="A238" s="7" t="s">
        <v>2098</v>
      </c>
      <c r="B238" s="8" t="s">
        <v>1498</v>
      </c>
      <c r="C238" s="8" t="s">
        <v>81</v>
      </c>
      <c r="D238" s="9" t="n">
        <v>45705</v>
      </c>
      <c r="E238" s="8"/>
      <c r="F238" s="8"/>
      <c r="G238" s="8" t="s">
        <v>11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 t="s">
        <v>1911</v>
      </c>
    </row>
    <row r="239" customFormat="false" ht="15" hidden="false" customHeight="false" outlineLevel="0" collapsed="false">
      <c r="A239" s="7" t="s">
        <v>2099</v>
      </c>
      <c r="B239" s="8" t="s">
        <v>1499</v>
      </c>
      <c r="C239" s="8" t="s">
        <v>81</v>
      </c>
      <c r="D239" s="9" t="n">
        <v>45708</v>
      </c>
      <c r="E239" s="8"/>
      <c r="F239" s="8"/>
      <c r="G239" s="8" t="s">
        <v>11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 t="s">
        <v>1911</v>
      </c>
    </row>
    <row r="240" customFormat="false" ht="15" hidden="false" customHeight="false" outlineLevel="0" collapsed="false">
      <c r="A240" s="7" t="s">
        <v>2100</v>
      </c>
      <c r="B240" s="8" t="s">
        <v>1500</v>
      </c>
      <c r="C240" s="8" t="s">
        <v>81</v>
      </c>
      <c r="D240" s="9" t="n">
        <v>45708</v>
      </c>
      <c r="E240" s="8"/>
      <c r="F240" s="8"/>
      <c r="G240" s="8" t="s">
        <v>11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 t="s">
        <v>1911</v>
      </c>
    </row>
    <row r="241" customFormat="false" ht="15" hidden="false" customHeight="false" outlineLevel="0" collapsed="false">
      <c r="A241" s="7" t="s">
        <v>2101</v>
      </c>
      <c r="B241" s="8" t="s">
        <v>1501</v>
      </c>
      <c r="C241" s="8" t="s">
        <v>81</v>
      </c>
      <c r="D241" s="9" t="n">
        <v>45715</v>
      </c>
      <c r="E241" s="8"/>
      <c r="F241" s="8"/>
      <c r="G241" s="8" t="s">
        <v>11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 t="s">
        <v>1911</v>
      </c>
    </row>
    <row r="242" customFormat="false" ht="15" hidden="false" customHeight="false" outlineLevel="0" collapsed="false">
      <c r="A242" s="7" t="s">
        <v>2102</v>
      </c>
      <c r="B242" s="8" t="s">
        <v>1502</v>
      </c>
      <c r="C242" s="8" t="s">
        <v>81</v>
      </c>
      <c r="D242" s="9" t="n">
        <v>45715</v>
      </c>
      <c r="E242" s="8"/>
      <c r="F242" s="8"/>
      <c r="G242" s="8" t="s">
        <v>11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 t="s">
        <v>1911</v>
      </c>
    </row>
    <row r="243" customFormat="false" ht="15" hidden="false" customHeight="false" outlineLevel="0" collapsed="false">
      <c r="A243" s="7" t="s">
        <v>2103</v>
      </c>
      <c r="B243" s="8" t="s">
        <v>1503</v>
      </c>
      <c r="C243" s="8" t="s">
        <v>81</v>
      </c>
      <c r="D243" s="9" t="n">
        <v>45716</v>
      </c>
      <c r="E243" s="8"/>
      <c r="F243" s="8"/>
      <c r="G243" s="8" t="s">
        <v>11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 t="s">
        <v>1911</v>
      </c>
    </row>
    <row r="244" customFormat="false" ht="15" hidden="false" customHeight="false" outlineLevel="0" collapsed="false">
      <c r="A244" s="7" t="s">
        <v>2104</v>
      </c>
      <c r="B244" s="8" t="s">
        <v>1504</v>
      </c>
      <c r="C244" s="8" t="s">
        <v>81</v>
      </c>
      <c r="D244" s="9" t="n">
        <v>45716</v>
      </c>
      <c r="E244" s="8"/>
      <c r="F244" s="8"/>
      <c r="G244" s="8" t="s">
        <v>11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 t="s">
        <v>1911</v>
      </c>
    </row>
    <row r="245" customFormat="false" ht="15" hidden="false" customHeight="false" outlineLevel="0" collapsed="false">
      <c r="A245" s="7" t="s">
        <v>2105</v>
      </c>
      <c r="B245" s="8" t="s">
        <v>1505</v>
      </c>
      <c r="C245" s="8" t="s">
        <v>81</v>
      </c>
      <c r="D245" s="9" t="n">
        <v>45719</v>
      </c>
      <c r="E245" s="8"/>
      <c r="F245" s="8"/>
      <c r="G245" s="8" t="s">
        <v>11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 t="s">
        <v>1911</v>
      </c>
    </row>
    <row r="246" customFormat="false" ht="15" hidden="false" customHeight="false" outlineLevel="0" collapsed="false">
      <c r="A246" s="7" t="s">
        <v>2106</v>
      </c>
      <c r="B246" s="8" t="s">
        <v>1506</v>
      </c>
      <c r="C246" s="8" t="s">
        <v>81</v>
      </c>
      <c r="D246" s="9" t="n">
        <v>45721</v>
      </c>
      <c r="E246" s="8"/>
      <c r="F246" s="8"/>
      <c r="G246" s="8" t="s">
        <v>11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 t="s">
        <v>1911</v>
      </c>
    </row>
    <row r="247" customFormat="false" ht="15" hidden="false" customHeight="false" outlineLevel="0" collapsed="false">
      <c r="A247" s="7" t="s">
        <v>2107</v>
      </c>
      <c r="B247" s="8" t="s">
        <v>1507</v>
      </c>
      <c r="C247" s="8" t="s">
        <v>81</v>
      </c>
      <c r="D247" s="9" t="n">
        <v>45723</v>
      </c>
      <c r="E247" s="8"/>
      <c r="F247" s="8"/>
      <c r="G247" s="8" t="s">
        <v>11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 t="s">
        <v>1911</v>
      </c>
    </row>
    <row r="248" customFormat="false" ht="15" hidden="false" customHeight="false" outlineLevel="0" collapsed="false">
      <c r="A248" s="7" t="s">
        <v>2108</v>
      </c>
      <c r="B248" s="8" t="s">
        <v>1509</v>
      </c>
      <c r="C248" s="8" t="s">
        <v>81</v>
      </c>
      <c r="D248" s="9" t="n">
        <v>45723</v>
      </c>
      <c r="E248" s="8"/>
      <c r="F248" s="8"/>
      <c r="G248" s="8" t="s">
        <v>11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 t="s">
        <v>1911</v>
      </c>
    </row>
    <row r="249" customFormat="false" ht="15" hidden="false" customHeight="false" outlineLevel="0" collapsed="false">
      <c r="A249" s="7" t="s">
        <v>2109</v>
      </c>
      <c r="B249" s="8" t="s">
        <v>1511</v>
      </c>
      <c r="C249" s="8" t="s">
        <v>81</v>
      </c>
      <c r="D249" s="9" t="n">
        <v>45725</v>
      </c>
      <c r="E249" s="8"/>
      <c r="F249" s="8"/>
      <c r="G249" s="8" t="s">
        <v>11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 t="s">
        <v>1911</v>
      </c>
    </row>
    <row r="250" customFormat="false" ht="15" hidden="false" customHeight="false" outlineLevel="0" collapsed="false">
      <c r="A250" s="7" t="s">
        <v>2110</v>
      </c>
      <c r="B250" s="8" t="s">
        <v>1513</v>
      </c>
      <c r="C250" s="8" t="s">
        <v>81</v>
      </c>
      <c r="D250" s="9" t="n">
        <v>45726</v>
      </c>
      <c r="E250" s="8"/>
      <c r="F250" s="8"/>
      <c r="G250" s="8" t="s">
        <v>11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 t="s">
        <v>1911</v>
      </c>
    </row>
    <row r="251" customFormat="false" ht="15" hidden="false" customHeight="false" outlineLevel="0" collapsed="false">
      <c r="A251" s="7" t="s">
        <v>2111</v>
      </c>
      <c r="B251" s="8" t="s">
        <v>1515</v>
      </c>
      <c r="C251" s="8" t="s">
        <v>81</v>
      </c>
      <c r="D251" s="9" t="n">
        <v>45728</v>
      </c>
      <c r="E251" s="8"/>
      <c r="F251" s="8"/>
      <c r="G251" s="8" t="s">
        <v>11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 t="s">
        <v>1911</v>
      </c>
    </row>
    <row r="252" customFormat="false" ht="15" hidden="false" customHeight="false" outlineLevel="0" collapsed="false">
      <c r="A252" s="7" t="s">
        <v>2112</v>
      </c>
      <c r="B252" s="8" t="s">
        <v>1517</v>
      </c>
      <c r="C252" s="8" t="s">
        <v>81</v>
      </c>
      <c r="D252" s="9" t="n">
        <v>45728</v>
      </c>
      <c r="E252" s="8"/>
      <c r="F252" s="8"/>
      <c r="G252" s="8" t="s">
        <v>11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 t="s">
        <v>1911</v>
      </c>
    </row>
    <row r="253" customFormat="false" ht="15" hidden="false" customHeight="false" outlineLevel="0" collapsed="false">
      <c r="A253" s="7" t="s">
        <v>2113</v>
      </c>
      <c r="B253" s="8" t="s">
        <v>1519</v>
      </c>
      <c r="C253" s="8" t="s">
        <v>81</v>
      </c>
      <c r="D253" s="9" t="n">
        <v>45728</v>
      </c>
      <c r="E253" s="8"/>
      <c r="F253" s="8"/>
      <c r="G253" s="8" t="s">
        <v>11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 t="s">
        <v>1911</v>
      </c>
    </row>
    <row r="254" customFormat="false" ht="15" hidden="false" customHeight="false" outlineLevel="0" collapsed="false">
      <c r="A254" s="7" t="s">
        <v>2114</v>
      </c>
      <c r="B254" s="8" t="s">
        <v>1521</v>
      </c>
      <c r="C254" s="8" t="s">
        <v>81</v>
      </c>
      <c r="D254" s="9" t="n">
        <v>45728</v>
      </c>
      <c r="E254" s="8"/>
      <c r="F254" s="8"/>
      <c r="G254" s="8" t="s">
        <v>11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 t="s">
        <v>1911</v>
      </c>
    </row>
    <row r="255" customFormat="false" ht="15" hidden="false" customHeight="false" outlineLevel="0" collapsed="false">
      <c r="A255" s="7" t="s">
        <v>2115</v>
      </c>
      <c r="B255" s="8" t="s">
        <v>1523</v>
      </c>
      <c r="C255" s="8" t="s">
        <v>81</v>
      </c>
      <c r="D255" s="9" t="n">
        <v>45729</v>
      </c>
      <c r="E255" s="8"/>
      <c r="F255" s="8"/>
      <c r="G255" s="8" t="s">
        <v>11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 t="s">
        <v>1911</v>
      </c>
    </row>
    <row r="256" customFormat="false" ht="15" hidden="false" customHeight="false" outlineLevel="0" collapsed="false">
      <c r="A256" s="7" t="s">
        <v>2116</v>
      </c>
      <c r="B256" s="8" t="s">
        <v>1525</v>
      </c>
      <c r="C256" s="8" t="s">
        <v>55</v>
      </c>
      <c r="D256" s="9" t="n">
        <v>45751</v>
      </c>
      <c r="E256" s="8"/>
      <c r="F256" s="8"/>
      <c r="G256" s="8" t="s">
        <v>11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 t="s">
        <v>2009</v>
      </c>
    </row>
    <row r="257" customFormat="false" ht="15" hidden="false" customHeight="false" outlineLevel="0" collapsed="false">
      <c r="A257" s="7" t="s">
        <v>2117</v>
      </c>
      <c r="B257" s="8" t="s">
        <v>1527</v>
      </c>
      <c r="C257" s="8" t="s">
        <v>55</v>
      </c>
      <c r="D257" s="9" t="n">
        <v>45754</v>
      </c>
      <c r="E257" s="8"/>
      <c r="F257" s="8"/>
      <c r="G257" s="8" t="s">
        <v>11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 t="s">
        <v>2009</v>
      </c>
    </row>
    <row r="258" customFormat="false" ht="15" hidden="false" customHeight="false" outlineLevel="0" collapsed="false">
      <c r="A258" s="7" t="s">
        <v>2118</v>
      </c>
      <c r="B258" s="8" t="s">
        <v>1529</v>
      </c>
      <c r="C258" s="8" t="s">
        <v>55</v>
      </c>
      <c r="D258" s="9" t="n">
        <v>45755</v>
      </c>
      <c r="E258" s="8"/>
      <c r="F258" s="8"/>
      <c r="G258" s="8" t="s">
        <v>11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 t="s">
        <v>2009</v>
      </c>
    </row>
    <row r="259" customFormat="false" ht="15" hidden="false" customHeight="false" outlineLevel="0" collapsed="false">
      <c r="A259" s="7" t="s">
        <v>2119</v>
      </c>
      <c r="B259" s="8" t="s">
        <v>1531</v>
      </c>
      <c r="C259" s="8" t="s">
        <v>55</v>
      </c>
      <c r="D259" s="9" t="n">
        <v>45755</v>
      </c>
      <c r="E259" s="8"/>
      <c r="F259" s="8"/>
      <c r="G259" s="8" t="s">
        <v>11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 t="s">
        <v>2009</v>
      </c>
    </row>
    <row r="260" customFormat="false" ht="15" hidden="false" customHeight="false" outlineLevel="0" collapsed="false">
      <c r="A260" s="7" t="s">
        <v>2120</v>
      </c>
      <c r="B260" s="8" t="s">
        <v>1533</v>
      </c>
      <c r="C260" s="8" t="s">
        <v>81</v>
      </c>
      <c r="D260" s="9" t="n">
        <v>45789</v>
      </c>
      <c r="E260" s="8"/>
      <c r="F260" s="8"/>
      <c r="G260" s="8" t="s">
        <v>11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 t="s">
        <v>2121</v>
      </c>
    </row>
    <row r="261" customFormat="false" ht="15" hidden="false" customHeight="false" outlineLevel="0" collapsed="false">
      <c r="A261" s="7" t="s">
        <v>2122</v>
      </c>
      <c r="B261" s="8" t="s">
        <v>1535</v>
      </c>
      <c r="C261" s="8" t="s">
        <v>81</v>
      </c>
      <c r="D261" s="9" t="n">
        <v>45789</v>
      </c>
      <c r="E261" s="8"/>
      <c r="F261" s="8"/>
      <c r="G261" s="8" t="s">
        <v>11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 t="s">
        <v>2121</v>
      </c>
    </row>
    <row r="262" customFormat="false" ht="15" hidden="false" customHeight="false" outlineLevel="0" collapsed="false">
      <c r="A262" s="7" t="s">
        <v>2123</v>
      </c>
      <c r="B262" s="8" t="s">
        <v>1537</v>
      </c>
      <c r="C262" s="8" t="s">
        <v>81</v>
      </c>
      <c r="D262" s="9" t="n">
        <v>45789</v>
      </c>
      <c r="E262" s="8"/>
      <c r="F262" s="8"/>
      <c r="G262" s="8" t="s">
        <v>11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 t="s">
        <v>2121</v>
      </c>
    </row>
    <row r="263" customFormat="false" ht="15" hidden="false" customHeight="false" outlineLevel="0" collapsed="false">
      <c r="A263" s="7" t="s">
        <v>2124</v>
      </c>
      <c r="B263" s="8" t="s">
        <v>1539</v>
      </c>
      <c r="C263" s="8" t="s">
        <v>81</v>
      </c>
      <c r="D263" s="9" t="n">
        <v>45789</v>
      </c>
      <c r="E263" s="8"/>
      <c r="F263" s="8"/>
      <c r="G263" s="8" t="s">
        <v>11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 t="s">
        <v>2121</v>
      </c>
    </row>
    <row r="264" customFormat="false" ht="15" hidden="false" customHeight="false" outlineLevel="0" collapsed="false">
      <c r="A264" s="7" t="s">
        <v>2125</v>
      </c>
      <c r="B264" s="8" t="s">
        <v>1541</v>
      </c>
      <c r="C264" s="8" t="s">
        <v>81</v>
      </c>
      <c r="D264" s="9" t="n">
        <v>45789</v>
      </c>
      <c r="E264" s="8"/>
      <c r="F264" s="8"/>
      <c r="G264" s="8" t="s">
        <v>11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 t="s">
        <v>2121</v>
      </c>
    </row>
    <row r="265" customFormat="false" ht="15" hidden="false" customHeight="false" outlineLevel="0" collapsed="false">
      <c r="A265" s="7" t="s">
        <v>2126</v>
      </c>
      <c r="B265" s="8" t="s">
        <v>1543</v>
      </c>
      <c r="C265" s="8" t="s">
        <v>81</v>
      </c>
      <c r="D265" s="9" t="n">
        <v>45789</v>
      </c>
      <c r="E265" s="8"/>
      <c r="F265" s="8"/>
      <c r="G265" s="8" t="s">
        <v>11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 t="s">
        <v>2121</v>
      </c>
    </row>
    <row r="266" customFormat="false" ht="15" hidden="false" customHeight="false" outlineLevel="0" collapsed="false">
      <c r="A266" s="7" t="s">
        <v>2127</v>
      </c>
      <c r="B266" s="8" t="s">
        <v>1545</v>
      </c>
      <c r="C266" s="8" t="s">
        <v>55</v>
      </c>
      <c r="D266" s="9" t="n">
        <v>45804</v>
      </c>
      <c r="E266" s="8"/>
      <c r="F266" s="8"/>
      <c r="G266" s="8" t="s">
        <v>11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 t="s">
        <v>2009</v>
      </c>
    </row>
    <row r="267" customFormat="false" ht="15" hidden="false" customHeight="false" outlineLevel="0" collapsed="false">
      <c r="A267" s="7" t="s">
        <v>2128</v>
      </c>
      <c r="B267" s="8" t="s">
        <v>1551</v>
      </c>
      <c r="C267" s="8" t="s">
        <v>55</v>
      </c>
      <c r="D267" s="9" t="n">
        <v>45805</v>
      </c>
      <c r="E267" s="8"/>
      <c r="F267" s="8"/>
      <c r="G267" s="8" t="s">
        <v>11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 t="s">
        <v>2009</v>
      </c>
    </row>
    <row r="268" customFormat="false" ht="15" hidden="false" customHeight="false" outlineLevel="0" collapsed="false">
      <c r="A268" s="7" t="s">
        <v>2129</v>
      </c>
      <c r="B268" s="8" t="s">
        <v>1553</v>
      </c>
      <c r="C268" s="8" t="s">
        <v>55</v>
      </c>
      <c r="D268" s="9" t="n">
        <v>45806</v>
      </c>
      <c r="E268" s="8"/>
      <c r="F268" s="8"/>
      <c r="G268" s="8" t="s">
        <v>11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 t="s">
        <v>2009</v>
      </c>
    </row>
    <row r="269" customFormat="false" ht="15" hidden="false" customHeight="false" outlineLevel="0" collapsed="false">
      <c r="A269" s="7" t="s">
        <v>2130</v>
      </c>
      <c r="B269" s="8" t="s">
        <v>1555</v>
      </c>
      <c r="C269" s="8" t="s">
        <v>55</v>
      </c>
      <c r="D269" s="9" t="n">
        <v>45807</v>
      </c>
      <c r="E269" s="8"/>
      <c r="F269" s="8"/>
      <c r="G269" s="8" t="s">
        <v>11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 t="s">
        <v>2009</v>
      </c>
    </row>
    <row r="270" customFormat="false" ht="15" hidden="false" customHeight="false" outlineLevel="0" collapsed="false">
      <c r="A270" s="7" t="s">
        <v>2131</v>
      </c>
      <c r="B270" s="8" t="s">
        <v>1557</v>
      </c>
      <c r="C270" s="8" t="s">
        <v>55</v>
      </c>
      <c r="D270" s="9" t="n">
        <v>45812</v>
      </c>
      <c r="E270" s="8"/>
      <c r="F270" s="8"/>
      <c r="G270" s="8" t="s">
        <v>11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 t="s">
        <v>2009</v>
      </c>
    </row>
    <row r="271" customFormat="false" ht="15" hidden="false" customHeight="false" outlineLevel="0" collapsed="false">
      <c r="A271" s="7" t="s">
        <v>2132</v>
      </c>
      <c r="B271" s="8" t="s">
        <v>1559</v>
      </c>
      <c r="C271" s="8" t="s">
        <v>55</v>
      </c>
      <c r="D271" s="9" t="n">
        <v>45814</v>
      </c>
      <c r="E271" s="8"/>
      <c r="F271" s="8"/>
      <c r="G271" s="8" t="s">
        <v>11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 t="s">
        <v>2009</v>
      </c>
    </row>
    <row r="272" customFormat="false" ht="15" hidden="false" customHeight="false" outlineLevel="0" collapsed="false">
      <c r="A272" s="7" t="s">
        <v>2133</v>
      </c>
      <c r="B272" s="8" t="s">
        <v>1561</v>
      </c>
      <c r="C272" s="8" t="s">
        <v>91</v>
      </c>
      <c r="D272" s="9" t="n">
        <v>45846</v>
      </c>
      <c r="E272" s="8"/>
      <c r="F272" s="8"/>
      <c r="G272" s="8" t="s">
        <v>11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 t="s">
        <v>2134</v>
      </c>
    </row>
    <row r="273" customFormat="false" ht="15" hidden="false" customHeight="false" outlineLevel="0" collapsed="false">
      <c r="A273" s="7" t="s">
        <v>2135</v>
      </c>
      <c r="B273" s="8" t="s">
        <v>1562</v>
      </c>
      <c r="C273" s="8" t="s">
        <v>55</v>
      </c>
      <c r="D273" s="9" t="n">
        <v>45848</v>
      </c>
      <c r="E273" s="8"/>
      <c r="F273" s="8"/>
      <c r="G273" s="8" t="s">
        <v>11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 t="s">
        <v>2009</v>
      </c>
    </row>
    <row r="274" customFormat="false" ht="15" hidden="false" customHeight="false" outlineLevel="0" collapsed="false">
      <c r="A274" s="7" t="s">
        <v>2136</v>
      </c>
      <c r="B274" s="8" t="s">
        <v>1564</v>
      </c>
      <c r="C274" s="8" t="s">
        <v>67</v>
      </c>
      <c r="D274" s="9" t="n">
        <v>45848</v>
      </c>
      <c r="E274" s="8"/>
      <c r="F274" s="8"/>
      <c r="G274" s="8" t="s">
        <v>11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 t="s">
        <v>2011</v>
      </c>
    </row>
    <row r="275" customFormat="false" ht="15" hidden="false" customHeight="false" outlineLevel="0" collapsed="false">
      <c r="A275" s="7" t="s">
        <v>2137</v>
      </c>
      <c r="B275" s="8" t="s">
        <v>1564</v>
      </c>
      <c r="C275" s="8" t="s">
        <v>41</v>
      </c>
      <c r="D275" s="9" t="n">
        <v>45848</v>
      </c>
      <c r="E275" s="8"/>
      <c r="F275" s="8"/>
      <c r="G275" s="8" t="s">
        <v>11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11" t="s">
        <v>1836</v>
      </c>
    </row>
    <row r="276" customFormat="false" ht="15" hidden="false" customHeight="false" outlineLevel="0" collapsed="false">
      <c r="A276" s="7" t="s">
        <v>2138</v>
      </c>
      <c r="B276" s="8" t="s">
        <v>1565</v>
      </c>
      <c r="C276" s="8" t="s">
        <v>55</v>
      </c>
      <c r="D276" s="9" t="n">
        <v>45849</v>
      </c>
      <c r="E276" s="8"/>
      <c r="F276" s="8"/>
      <c r="G276" s="8" t="s">
        <v>11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 t="s">
        <v>2009</v>
      </c>
    </row>
    <row r="277" customFormat="false" ht="15" hidden="false" customHeight="false" outlineLevel="0" collapsed="false">
      <c r="A277" s="7" t="s">
        <v>2139</v>
      </c>
      <c r="B277" s="8" t="s">
        <v>1567</v>
      </c>
      <c r="C277" s="8" t="s">
        <v>91</v>
      </c>
      <c r="D277" s="9" t="n">
        <v>45887</v>
      </c>
      <c r="E277" s="8"/>
      <c r="F277" s="8"/>
      <c r="G277" s="8" t="s">
        <v>11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 t="s">
        <v>2134</v>
      </c>
    </row>
    <row r="278" customFormat="false" ht="15" hidden="false" customHeight="false" outlineLevel="0" collapsed="false">
      <c r="A278" s="7" t="s">
        <v>2140</v>
      </c>
      <c r="B278" s="8" t="s">
        <v>1569</v>
      </c>
      <c r="C278" s="8" t="s">
        <v>91</v>
      </c>
      <c r="D278" s="9" t="n">
        <v>45887</v>
      </c>
      <c r="E278" s="8"/>
      <c r="F278" s="8"/>
      <c r="G278" s="8" t="s">
        <v>11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 t="s">
        <v>2134</v>
      </c>
    </row>
    <row r="279" customFormat="false" ht="15" hidden="false" customHeight="false" outlineLevel="0" collapsed="false">
      <c r="A279" s="7" t="s">
        <v>2141</v>
      </c>
      <c r="B279" s="8" t="s">
        <v>1571</v>
      </c>
      <c r="C279" s="8" t="s">
        <v>91</v>
      </c>
      <c r="D279" s="9" t="n">
        <v>45889</v>
      </c>
      <c r="E279" s="8"/>
      <c r="F279" s="8"/>
      <c r="G279" s="8" t="s">
        <v>11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 t="s">
        <v>2134</v>
      </c>
    </row>
    <row r="280" customFormat="false" ht="15" hidden="false" customHeight="false" outlineLevel="0" collapsed="false">
      <c r="A280" s="7" t="s">
        <v>2142</v>
      </c>
      <c r="B280" s="8" t="s">
        <v>1573</v>
      </c>
      <c r="C280" s="8" t="s">
        <v>87</v>
      </c>
      <c r="D280" s="9" t="n">
        <v>45894</v>
      </c>
      <c r="E280" s="8"/>
      <c r="F280" s="8"/>
      <c r="G280" s="8" t="s">
        <v>11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 t="s">
        <v>2143</v>
      </c>
    </row>
    <row r="281" customFormat="false" ht="15" hidden="false" customHeight="false" outlineLevel="0" collapsed="false">
      <c r="A281" s="7" t="s">
        <v>2144</v>
      </c>
      <c r="B281" s="8" t="s">
        <v>1574</v>
      </c>
      <c r="C281" s="8" t="s">
        <v>91</v>
      </c>
      <c r="D281" s="9" t="n">
        <v>45896</v>
      </c>
      <c r="E281" s="8"/>
      <c r="F281" s="8"/>
      <c r="G281" s="8" t="s">
        <v>11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 t="s">
        <v>2134</v>
      </c>
    </row>
    <row r="282" customFormat="false" ht="15" hidden="false" customHeight="false" outlineLevel="0" collapsed="false">
      <c r="A282" s="7" t="s">
        <v>2145</v>
      </c>
      <c r="B282" s="8" t="s">
        <v>1575</v>
      </c>
      <c r="C282" s="8" t="s">
        <v>91</v>
      </c>
      <c r="D282" s="9" t="n">
        <v>45902</v>
      </c>
      <c r="E282" s="8"/>
      <c r="F282" s="8"/>
      <c r="G282" s="8" t="s">
        <v>11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 t="s">
        <v>2134</v>
      </c>
    </row>
    <row r="283" customFormat="false" ht="15" hidden="false" customHeight="false" outlineLevel="0" collapsed="false">
      <c r="A283" s="7" t="s">
        <v>2146</v>
      </c>
      <c r="B283" s="8" t="s">
        <v>1577</v>
      </c>
      <c r="C283" s="8" t="s">
        <v>91</v>
      </c>
      <c r="D283" s="9" t="n">
        <v>45903</v>
      </c>
      <c r="E283" s="8"/>
      <c r="F283" s="8"/>
      <c r="G283" s="8" t="s">
        <v>11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 t="s">
        <v>2134</v>
      </c>
    </row>
    <row r="284" customFormat="false" ht="15" hidden="false" customHeight="false" outlineLevel="0" collapsed="false">
      <c r="A284" s="7" t="s">
        <v>2147</v>
      </c>
      <c r="B284" s="8" t="s">
        <v>1578</v>
      </c>
      <c r="C284" s="8" t="s">
        <v>91</v>
      </c>
      <c r="D284" s="9" t="n">
        <v>45903</v>
      </c>
      <c r="E284" s="8"/>
      <c r="F284" s="8"/>
      <c r="G284" s="8" t="s">
        <v>11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 t="s">
        <v>2134</v>
      </c>
    </row>
    <row r="285" customFormat="false" ht="15" hidden="false" customHeight="false" outlineLevel="0" collapsed="false">
      <c r="A285" s="7" t="s">
        <v>2148</v>
      </c>
      <c r="B285" s="8" t="s">
        <v>1580</v>
      </c>
      <c r="C285" s="8" t="s">
        <v>91</v>
      </c>
      <c r="D285" s="9" t="n">
        <v>45903</v>
      </c>
      <c r="E285" s="8"/>
      <c r="F285" s="8"/>
      <c r="G285" s="8" t="s">
        <v>11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 t="s">
        <v>2134</v>
      </c>
    </row>
    <row r="286" customFormat="false" ht="15" hidden="false" customHeight="false" outlineLevel="0" collapsed="false">
      <c r="A286" s="7" t="s">
        <v>2149</v>
      </c>
      <c r="B286" s="8" t="s">
        <v>1582</v>
      </c>
      <c r="C286" s="8" t="s">
        <v>91</v>
      </c>
      <c r="D286" s="9" t="n">
        <v>45904</v>
      </c>
      <c r="E286" s="8"/>
      <c r="F286" s="8"/>
      <c r="G286" s="8" t="s">
        <v>11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 t="s">
        <v>2134</v>
      </c>
    </row>
    <row r="287" customFormat="false" ht="15" hidden="false" customHeight="false" outlineLevel="0" collapsed="false">
      <c r="A287" s="7" t="s">
        <v>2150</v>
      </c>
      <c r="B287" s="8" t="s">
        <v>1584</v>
      </c>
      <c r="C287" s="8" t="s">
        <v>55</v>
      </c>
      <c r="D287" s="9" t="n">
        <v>45919</v>
      </c>
      <c r="E287" s="8"/>
      <c r="F287" s="8"/>
      <c r="G287" s="8" t="s">
        <v>11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 t="s">
        <v>2009</v>
      </c>
    </row>
    <row r="288" customFormat="false" ht="15" hidden="false" customHeight="false" outlineLevel="0" collapsed="false">
      <c r="A288" s="7" t="s">
        <v>2151</v>
      </c>
      <c r="B288" s="8" t="s">
        <v>1586</v>
      </c>
      <c r="C288" s="8" t="s">
        <v>87</v>
      </c>
      <c r="D288" s="9" t="n">
        <v>45925</v>
      </c>
      <c r="E288" s="8"/>
      <c r="F288" s="8"/>
      <c r="G288" s="8" t="s">
        <v>11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 t="s">
        <v>2152</v>
      </c>
    </row>
    <row r="289" customFormat="false" ht="15" hidden="false" customHeight="false" outlineLevel="0" collapsed="false">
      <c r="A289" s="7" t="s">
        <v>2153</v>
      </c>
      <c r="B289" s="8" t="s">
        <v>1586</v>
      </c>
      <c r="C289" s="8" t="s">
        <v>41</v>
      </c>
      <c r="D289" s="9" t="n">
        <v>45925</v>
      </c>
      <c r="E289" s="8"/>
      <c r="F289" s="8"/>
      <c r="G289" s="8" t="s">
        <v>11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11" t="s">
        <v>1836</v>
      </c>
    </row>
    <row r="290" customFormat="false" ht="15" hidden="false" customHeight="false" outlineLevel="0" collapsed="false">
      <c r="A290" s="7" t="s">
        <v>2154</v>
      </c>
      <c r="B290" s="8" t="s">
        <v>1588</v>
      </c>
      <c r="C290" s="8" t="s">
        <v>91</v>
      </c>
      <c r="D290" s="9" t="n">
        <v>45926</v>
      </c>
      <c r="E290" s="8"/>
      <c r="F290" s="8"/>
      <c r="G290" s="8" t="s">
        <v>11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 t="s">
        <v>2134</v>
      </c>
    </row>
    <row r="291" customFormat="false" ht="15" hidden="false" customHeight="false" outlineLevel="0" collapsed="false">
      <c r="A291" s="7" t="s">
        <v>2155</v>
      </c>
      <c r="B291" s="8" t="s">
        <v>1590</v>
      </c>
      <c r="C291" s="8" t="s">
        <v>55</v>
      </c>
      <c r="D291" s="9" t="n">
        <v>45926</v>
      </c>
      <c r="E291" s="8"/>
      <c r="F291" s="8"/>
      <c r="G291" s="8" t="s">
        <v>11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 t="s">
        <v>2009</v>
      </c>
    </row>
    <row r="292" customFormat="false" ht="15" hidden="false" customHeight="false" outlineLevel="0" collapsed="false">
      <c r="A292" s="7" t="s">
        <v>2156</v>
      </c>
      <c r="B292" s="8" t="s">
        <v>1592</v>
      </c>
      <c r="C292" s="8" t="s">
        <v>91</v>
      </c>
      <c r="D292" s="9" t="n">
        <v>45930</v>
      </c>
      <c r="E292" s="8"/>
      <c r="F292" s="8"/>
      <c r="G292" s="8" t="s">
        <v>11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 t="s">
        <v>2134</v>
      </c>
    </row>
    <row r="293" customFormat="false" ht="15" hidden="false" customHeight="false" outlineLevel="0" collapsed="false">
      <c r="A293" s="7" t="s">
        <v>2157</v>
      </c>
      <c r="B293" s="8" t="s">
        <v>1593</v>
      </c>
      <c r="C293" s="8" t="s">
        <v>55</v>
      </c>
      <c r="D293" s="9" t="n">
        <v>45933</v>
      </c>
      <c r="E293" s="8"/>
      <c r="F293" s="8"/>
      <c r="G293" s="8" t="s">
        <v>11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 t="s">
        <v>2009</v>
      </c>
    </row>
    <row r="294" customFormat="false" ht="15" hidden="false" customHeight="false" outlineLevel="0" collapsed="false">
      <c r="A294" s="7" t="s">
        <v>2158</v>
      </c>
      <c r="B294" s="8" t="s">
        <v>1595</v>
      </c>
      <c r="C294" s="8" t="s">
        <v>55</v>
      </c>
      <c r="D294" s="9" t="n">
        <v>45934</v>
      </c>
      <c r="E294" s="8"/>
      <c r="F294" s="8"/>
      <c r="G294" s="8" t="s">
        <v>11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 t="s">
        <v>2009</v>
      </c>
    </row>
    <row r="295" customFormat="false" ht="15" hidden="false" customHeight="false" outlineLevel="0" collapsed="false">
      <c r="A295" s="7" t="s">
        <v>2159</v>
      </c>
      <c r="B295" s="8" t="s">
        <v>1597</v>
      </c>
      <c r="C295" s="8" t="s">
        <v>55</v>
      </c>
      <c r="D295" s="9" t="n">
        <v>45944</v>
      </c>
      <c r="E295" s="8"/>
      <c r="F295" s="8"/>
      <c r="G295" s="8" t="s">
        <v>11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 t="s">
        <v>2009</v>
      </c>
    </row>
    <row r="296" customFormat="false" ht="15" hidden="false" customHeight="false" outlineLevel="0" collapsed="false">
      <c r="A296" s="7" t="s">
        <v>2160</v>
      </c>
      <c r="B296" s="8" t="s">
        <v>1599</v>
      </c>
      <c r="C296" s="8" t="s">
        <v>55</v>
      </c>
      <c r="D296" s="9" t="n">
        <v>45950</v>
      </c>
      <c r="E296" s="8"/>
      <c r="F296" s="8"/>
      <c r="G296" s="8" t="s">
        <v>11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 t="s">
        <v>2009</v>
      </c>
    </row>
    <row r="297" customFormat="false" ht="15" hidden="false" customHeight="false" outlineLevel="0" collapsed="false">
      <c r="A297" s="7" t="s">
        <v>2161</v>
      </c>
      <c r="B297" s="8" t="s">
        <v>1601</v>
      </c>
      <c r="C297" s="8" t="s">
        <v>55</v>
      </c>
      <c r="D297" s="9" t="n">
        <v>45950</v>
      </c>
      <c r="E297" s="8"/>
      <c r="F297" s="8"/>
      <c r="G297" s="8" t="s">
        <v>11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 t="s">
        <v>2009</v>
      </c>
    </row>
    <row r="298" customFormat="false" ht="15" hidden="false" customHeight="false" outlineLevel="0" collapsed="false">
      <c r="A298" s="7" t="s">
        <v>2162</v>
      </c>
      <c r="B298" s="8" t="s">
        <v>1603</v>
      </c>
      <c r="C298" s="8" t="s">
        <v>87</v>
      </c>
      <c r="D298" s="9" t="n">
        <v>45950</v>
      </c>
      <c r="E298" s="8"/>
      <c r="F298" s="8"/>
      <c r="G298" s="8" t="s">
        <v>11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 t="s">
        <v>2143</v>
      </c>
    </row>
    <row r="299" customFormat="false" ht="15" hidden="false" customHeight="false" outlineLevel="0" collapsed="false">
      <c r="A299" s="7" t="s">
        <v>2163</v>
      </c>
      <c r="B299" s="8" t="s">
        <v>1603</v>
      </c>
      <c r="C299" s="8" t="s">
        <v>41</v>
      </c>
      <c r="D299" s="9" t="n">
        <v>45950</v>
      </c>
      <c r="E299" s="8"/>
      <c r="F299" s="8"/>
      <c r="G299" s="8" t="s">
        <v>11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11" t="s">
        <v>1836</v>
      </c>
    </row>
    <row r="300" customFormat="false" ht="15" hidden="false" customHeight="false" outlineLevel="0" collapsed="false">
      <c r="A300" s="7" t="s">
        <v>2164</v>
      </c>
      <c r="B300" s="8" t="s">
        <v>1605</v>
      </c>
      <c r="C300" s="8" t="s">
        <v>87</v>
      </c>
      <c r="D300" s="9" t="n">
        <v>45950</v>
      </c>
      <c r="E300" s="8"/>
      <c r="F300" s="8"/>
      <c r="G300" s="8" t="s">
        <v>11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 t="s">
        <v>2143</v>
      </c>
    </row>
    <row r="301" customFormat="false" ht="15" hidden="false" customHeight="false" outlineLevel="0" collapsed="false">
      <c r="A301" s="7" t="s">
        <v>2165</v>
      </c>
      <c r="B301" s="8" t="s">
        <v>1605</v>
      </c>
      <c r="C301" s="8" t="s">
        <v>41</v>
      </c>
      <c r="D301" s="9" t="n">
        <v>45950</v>
      </c>
      <c r="E301" s="8"/>
      <c r="F301" s="8"/>
      <c r="G301" s="8" t="s">
        <v>11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11" t="s">
        <v>1836</v>
      </c>
    </row>
    <row r="302" customFormat="false" ht="15" hidden="false" customHeight="false" outlineLevel="0" collapsed="false">
      <c r="A302" s="7" t="s">
        <v>2166</v>
      </c>
      <c r="B302" s="8" t="s">
        <v>1607</v>
      </c>
      <c r="C302" s="8" t="s">
        <v>78</v>
      </c>
      <c r="D302" s="9" t="n">
        <v>45951</v>
      </c>
      <c r="E302" s="8"/>
      <c r="F302" s="8"/>
      <c r="G302" s="8" t="s">
        <v>11</v>
      </c>
      <c r="H302" s="8"/>
      <c r="I302" s="8"/>
      <c r="J302" s="8" t="s">
        <v>2167</v>
      </c>
      <c r="K302" s="8"/>
      <c r="L302" s="8"/>
      <c r="M302" s="8"/>
      <c r="N302" s="8"/>
      <c r="O302" s="8"/>
      <c r="P302" s="8"/>
      <c r="Q302" s="8"/>
      <c r="R302" s="8"/>
      <c r="S302" s="8" t="s">
        <v>2168</v>
      </c>
    </row>
    <row r="303" customFormat="false" ht="15" hidden="false" customHeight="false" outlineLevel="0" collapsed="false">
      <c r="A303" s="7" t="s">
        <v>2169</v>
      </c>
      <c r="B303" s="8" t="s">
        <v>1607</v>
      </c>
      <c r="C303" s="8" t="s">
        <v>41</v>
      </c>
      <c r="D303" s="9" t="n">
        <v>45982</v>
      </c>
      <c r="E303" s="8"/>
      <c r="F303" s="8"/>
      <c r="G303" s="8" t="s">
        <v>11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11" t="s">
        <v>1836</v>
      </c>
    </row>
    <row r="304" customFormat="false" ht="15" hidden="false" customHeight="false" outlineLevel="0" collapsed="false">
      <c r="A304" s="7" t="s">
        <v>2170</v>
      </c>
      <c r="B304" s="8" t="s">
        <v>1609</v>
      </c>
      <c r="C304" s="8" t="s">
        <v>78</v>
      </c>
      <c r="D304" s="9" t="n">
        <v>45951</v>
      </c>
      <c r="E304" s="8"/>
      <c r="F304" s="8"/>
      <c r="G304" s="8" t="s">
        <v>11</v>
      </c>
      <c r="H304" s="8"/>
      <c r="I304" s="8"/>
      <c r="J304" s="8" t="s">
        <v>2171</v>
      </c>
      <c r="K304" s="8"/>
      <c r="L304" s="8"/>
      <c r="M304" s="8"/>
      <c r="N304" s="8"/>
      <c r="O304" s="8"/>
      <c r="P304" s="8"/>
      <c r="Q304" s="8"/>
      <c r="R304" s="8"/>
      <c r="S304" s="8" t="s">
        <v>2168</v>
      </c>
    </row>
    <row r="305" customFormat="false" ht="15" hidden="false" customHeight="false" outlineLevel="0" collapsed="false">
      <c r="A305" s="7" t="s">
        <v>2172</v>
      </c>
      <c r="B305" s="8" t="s">
        <v>1611</v>
      </c>
      <c r="C305" s="8" t="s">
        <v>78</v>
      </c>
      <c r="D305" s="9" t="n">
        <v>45951</v>
      </c>
      <c r="E305" s="8"/>
      <c r="F305" s="8"/>
      <c r="G305" s="8" t="s">
        <v>11</v>
      </c>
      <c r="H305" s="8"/>
      <c r="I305" s="8"/>
      <c r="J305" s="8" t="s">
        <v>2173</v>
      </c>
      <c r="K305" s="8"/>
      <c r="L305" s="8"/>
      <c r="M305" s="8"/>
      <c r="N305" s="8"/>
      <c r="O305" s="8"/>
      <c r="P305" s="8"/>
      <c r="Q305" s="8"/>
      <c r="R305" s="8"/>
      <c r="S305" s="8" t="s">
        <v>2168</v>
      </c>
    </row>
    <row r="306" customFormat="false" ht="15" hidden="false" customHeight="false" outlineLevel="0" collapsed="false">
      <c r="A306" s="7" t="s">
        <v>2174</v>
      </c>
      <c r="B306" s="8" t="s">
        <v>1613</v>
      </c>
      <c r="C306" s="8" t="s">
        <v>78</v>
      </c>
      <c r="D306" s="9" t="n">
        <v>45951</v>
      </c>
      <c r="E306" s="8"/>
      <c r="F306" s="8"/>
      <c r="G306" s="8" t="s">
        <v>11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 t="s">
        <v>2168</v>
      </c>
    </row>
    <row r="307" customFormat="false" ht="15" hidden="false" customHeight="false" outlineLevel="0" collapsed="false">
      <c r="A307" s="7" t="s">
        <v>2175</v>
      </c>
      <c r="B307" s="8" t="s">
        <v>1613</v>
      </c>
      <c r="C307" s="8" t="s">
        <v>41</v>
      </c>
      <c r="D307" s="9" t="n">
        <v>45982</v>
      </c>
      <c r="E307" s="8"/>
      <c r="F307" s="8"/>
      <c r="G307" s="8" t="s">
        <v>11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11" t="s">
        <v>1836</v>
      </c>
    </row>
    <row r="308" customFormat="false" ht="15" hidden="false" customHeight="false" outlineLevel="0" collapsed="false">
      <c r="A308" s="7" t="s">
        <v>2176</v>
      </c>
      <c r="B308" s="8" t="s">
        <v>1615</v>
      </c>
      <c r="C308" s="8" t="s">
        <v>97</v>
      </c>
      <c r="D308" s="9" t="n">
        <v>45988</v>
      </c>
      <c r="E308" s="8"/>
      <c r="F308" s="8"/>
      <c r="G308" s="8" t="s">
        <v>11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 t="s">
        <v>2177</v>
      </c>
    </row>
    <row r="309" customFormat="false" ht="15" hidden="false" customHeight="false" outlineLevel="0" collapsed="false">
      <c r="A309" s="7" t="s">
        <v>2178</v>
      </c>
      <c r="B309" s="8" t="s">
        <v>1617</v>
      </c>
      <c r="C309" s="8" t="s">
        <v>97</v>
      </c>
      <c r="D309" s="9" t="n">
        <v>45988</v>
      </c>
      <c r="E309" s="8"/>
      <c r="F309" s="8"/>
      <c r="G309" s="8" t="s">
        <v>11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 t="s">
        <v>2177</v>
      </c>
    </row>
    <row r="310" customFormat="false" ht="15" hidden="false" customHeight="false" outlineLevel="0" collapsed="false">
      <c r="A310" s="7" t="s">
        <v>2179</v>
      </c>
      <c r="B310" s="8" t="s">
        <v>1619</v>
      </c>
      <c r="C310" s="8" t="s">
        <v>97</v>
      </c>
      <c r="D310" s="9" t="n">
        <v>45989</v>
      </c>
      <c r="E310" s="8"/>
      <c r="F310" s="8"/>
      <c r="G310" s="8" t="s">
        <v>11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 t="s">
        <v>2177</v>
      </c>
    </row>
    <row r="311" customFormat="false" ht="15" hidden="false" customHeight="false" outlineLevel="0" collapsed="false">
      <c r="A311" s="7" t="s">
        <v>2180</v>
      </c>
      <c r="B311" s="8" t="s">
        <v>1623</v>
      </c>
      <c r="C311" s="8" t="s">
        <v>41</v>
      </c>
      <c r="D311" s="9" t="n">
        <v>46008</v>
      </c>
      <c r="E311" s="8"/>
      <c r="F311" s="8"/>
      <c r="G311" s="8" t="s">
        <v>11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11" t="s">
        <v>1836</v>
      </c>
    </row>
    <row r="312" customFormat="false" ht="15" hidden="false" customHeight="false" outlineLevel="0" collapsed="false">
      <c r="A312" s="7" t="s">
        <v>2181</v>
      </c>
      <c r="B312" s="8" t="s">
        <v>1625</v>
      </c>
      <c r="C312" s="8" t="s">
        <v>41</v>
      </c>
      <c r="D312" s="9" t="n">
        <v>46008</v>
      </c>
      <c r="E312" s="8"/>
      <c r="F312" s="8"/>
      <c r="G312" s="8" t="s">
        <v>11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11" t="s">
        <v>1836</v>
      </c>
    </row>
    <row r="313" customFormat="false" ht="15" hidden="false" customHeight="false" outlineLevel="0" collapsed="false">
      <c r="A313" s="7" t="s">
        <v>2182</v>
      </c>
      <c r="B313" s="8" t="s">
        <v>1627</v>
      </c>
      <c r="C313" s="8" t="s">
        <v>81</v>
      </c>
      <c r="D313" s="9" t="n">
        <v>46042</v>
      </c>
      <c r="E313" s="8"/>
      <c r="F313" s="8"/>
      <c r="G313" s="8" t="s">
        <v>11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 t="s">
        <v>2183</v>
      </c>
    </row>
    <row r="314" customFormat="false" ht="15" hidden="false" customHeight="false" outlineLevel="0" collapsed="false">
      <c r="A314" s="7" t="s">
        <v>2184</v>
      </c>
      <c r="B314" s="8" t="s">
        <v>1627</v>
      </c>
      <c r="C314" s="8" t="s">
        <v>41</v>
      </c>
      <c r="D314" s="9" t="n">
        <v>46042</v>
      </c>
      <c r="E314" s="8"/>
      <c r="F314" s="8"/>
      <c r="G314" s="8" t="s">
        <v>11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11" t="s">
        <v>1836</v>
      </c>
    </row>
    <row r="315" customFormat="false" ht="15" hidden="false" customHeight="false" outlineLevel="0" collapsed="false">
      <c r="A315" s="7" t="s">
        <v>2185</v>
      </c>
      <c r="B315" s="8" t="s">
        <v>1628</v>
      </c>
      <c r="C315" s="8" t="s">
        <v>81</v>
      </c>
      <c r="D315" s="9" t="n">
        <v>46044</v>
      </c>
      <c r="E315" s="8"/>
      <c r="F315" s="8"/>
      <c r="G315" s="8" t="s">
        <v>11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 t="s">
        <v>2183</v>
      </c>
    </row>
    <row r="316" customFormat="false" ht="15" hidden="false" customHeight="false" outlineLevel="0" collapsed="false">
      <c r="A316" s="7" t="s">
        <v>2186</v>
      </c>
      <c r="B316" s="8" t="s">
        <v>1628</v>
      </c>
      <c r="C316" s="8" t="s">
        <v>41</v>
      </c>
      <c r="D316" s="9" t="n">
        <v>46044</v>
      </c>
      <c r="E316" s="8"/>
      <c r="F316" s="8"/>
      <c r="G316" s="8" t="s">
        <v>11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11" t="s">
        <v>1836</v>
      </c>
    </row>
    <row r="317" customFormat="false" ht="15" hidden="false" customHeight="false" outlineLevel="0" collapsed="false">
      <c r="A317" s="7" t="s">
        <v>2187</v>
      </c>
      <c r="B317" s="8" t="s">
        <v>1630</v>
      </c>
      <c r="C317" s="8" t="s">
        <v>81</v>
      </c>
      <c r="D317" s="9" t="n">
        <v>46044</v>
      </c>
      <c r="E317" s="8"/>
      <c r="F317" s="8"/>
      <c r="G317" s="8" t="s">
        <v>11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 t="s">
        <v>2183</v>
      </c>
    </row>
    <row r="318" customFormat="false" ht="15" hidden="false" customHeight="false" outlineLevel="0" collapsed="false">
      <c r="A318" s="7" t="s">
        <v>2188</v>
      </c>
      <c r="B318" s="8" t="s">
        <v>1630</v>
      </c>
      <c r="C318" s="8" t="s">
        <v>41</v>
      </c>
      <c r="D318" s="9" t="n">
        <v>46044</v>
      </c>
      <c r="E318" s="8"/>
      <c r="F318" s="8"/>
      <c r="G318" s="8" t="s">
        <v>11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11" t="s">
        <v>1836</v>
      </c>
    </row>
    <row r="319" customFormat="false" ht="15" hidden="false" customHeight="false" outlineLevel="0" collapsed="false">
      <c r="A319" s="7" t="s">
        <v>2189</v>
      </c>
      <c r="B319" s="8" t="s">
        <v>1632</v>
      </c>
      <c r="C319" s="8" t="s">
        <v>55</v>
      </c>
      <c r="D319" s="9" t="n">
        <v>46045</v>
      </c>
      <c r="E319" s="8"/>
      <c r="F319" s="8"/>
      <c r="G319" s="8" t="s">
        <v>11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 t="s">
        <v>2009</v>
      </c>
    </row>
    <row r="320" customFormat="false" ht="15" hidden="false" customHeight="false" outlineLevel="0" collapsed="false">
      <c r="A320" s="7" t="s">
        <v>2190</v>
      </c>
      <c r="B320" s="8" t="s">
        <v>1634</v>
      </c>
      <c r="C320" s="8" t="s">
        <v>93</v>
      </c>
      <c r="D320" s="9" t="n">
        <v>46048</v>
      </c>
      <c r="E320" s="8"/>
      <c r="F320" s="8"/>
      <c r="G320" s="8" t="s">
        <v>11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 t="s">
        <v>2191</v>
      </c>
    </row>
    <row r="321" customFormat="false" ht="15" hidden="false" customHeight="false" outlineLevel="0" collapsed="false">
      <c r="A321" s="7" t="s">
        <v>2192</v>
      </c>
      <c r="B321" s="8" t="s">
        <v>1636</v>
      </c>
      <c r="C321" s="8" t="s">
        <v>87</v>
      </c>
      <c r="D321" s="9" t="n">
        <v>46048</v>
      </c>
      <c r="E321" s="8"/>
      <c r="F321" s="8"/>
      <c r="G321" s="8" t="s">
        <v>11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 t="s">
        <v>2143</v>
      </c>
    </row>
    <row r="322" customFormat="false" ht="15" hidden="false" customHeight="false" outlineLevel="0" collapsed="false">
      <c r="A322" s="7" t="s">
        <v>2193</v>
      </c>
      <c r="B322" s="8" t="s">
        <v>1636</v>
      </c>
      <c r="C322" s="8" t="s">
        <v>41</v>
      </c>
      <c r="D322" s="9" t="n">
        <v>46048</v>
      </c>
      <c r="E322" s="8"/>
      <c r="F322" s="8"/>
      <c r="G322" s="8" t="s">
        <v>11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11" t="s">
        <v>1836</v>
      </c>
    </row>
    <row r="323" customFormat="false" ht="15" hidden="false" customHeight="false" outlineLevel="0" collapsed="false">
      <c r="A323" s="7" t="s">
        <v>2194</v>
      </c>
      <c r="B323" s="8" t="s">
        <v>1638</v>
      </c>
      <c r="C323" s="8" t="s">
        <v>78</v>
      </c>
      <c r="D323" s="9" t="n">
        <v>46050</v>
      </c>
      <c r="E323" s="8"/>
      <c r="F323" s="8"/>
      <c r="G323" s="8" t="s">
        <v>11</v>
      </c>
      <c r="H323" s="8"/>
      <c r="I323" s="8"/>
      <c r="J323" s="8" t="s">
        <v>2167</v>
      </c>
      <c r="K323" s="8"/>
      <c r="L323" s="8"/>
      <c r="M323" s="8"/>
      <c r="N323" s="8"/>
      <c r="O323" s="8"/>
      <c r="P323" s="8"/>
      <c r="Q323" s="8"/>
      <c r="R323" s="8"/>
      <c r="S323" s="8" t="s">
        <v>2168</v>
      </c>
    </row>
    <row r="324" customFormat="false" ht="15" hidden="false" customHeight="false" outlineLevel="0" collapsed="false">
      <c r="A324" s="7" t="s">
        <v>2195</v>
      </c>
      <c r="B324" s="8" t="s">
        <v>1640</v>
      </c>
      <c r="C324" s="8" t="s">
        <v>78</v>
      </c>
      <c r="D324" s="9" t="n">
        <v>46050</v>
      </c>
      <c r="E324" s="8"/>
      <c r="F324" s="8"/>
      <c r="G324" s="8" t="s">
        <v>11</v>
      </c>
      <c r="H324" s="8"/>
      <c r="I324" s="8"/>
      <c r="J324" s="8" t="s">
        <v>2171</v>
      </c>
      <c r="K324" s="8"/>
      <c r="L324" s="8"/>
      <c r="M324" s="8"/>
      <c r="N324" s="8"/>
      <c r="O324" s="8"/>
      <c r="P324" s="8"/>
      <c r="Q324" s="8"/>
      <c r="R324" s="8"/>
      <c r="S324" s="8" t="s">
        <v>2168</v>
      </c>
    </row>
    <row r="325" customFormat="false" ht="15" hidden="false" customHeight="false" outlineLevel="0" collapsed="false">
      <c r="A325" s="7" t="s">
        <v>2196</v>
      </c>
      <c r="B325" s="8" t="s">
        <v>1642</v>
      </c>
      <c r="C325" s="8" t="s">
        <v>78</v>
      </c>
      <c r="D325" s="9" t="n">
        <v>46050</v>
      </c>
      <c r="E325" s="8"/>
      <c r="F325" s="8"/>
      <c r="G325" s="8" t="s">
        <v>11</v>
      </c>
      <c r="H325" s="8"/>
      <c r="I325" s="8"/>
      <c r="J325" s="8" t="s">
        <v>2173</v>
      </c>
      <c r="K325" s="8"/>
      <c r="L325" s="8"/>
      <c r="M325" s="8"/>
      <c r="N325" s="8"/>
      <c r="O325" s="8"/>
      <c r="P325" s="8"/>
      <c r="Q325" s="8"/>
      <c r="R325" s="8"/>
      <c r="S325" s="8" t="s">
        <v>2168</v>
      </c>
    </row>
    <row r="326" customFormat="false" ht="15" hidden="false" customHeight="false" outlineLevel="0" collapsed="false">
      <c r="A326" s="7" t="s">
        <v>2197</v>
      </c>
      <c r="B326" s="8" t="s">
        <v>1644</v>
      </c>
      <c r="C326" s="8" t="s">
        <v>55</v>
      </c>
      <c r="D326" s="9" t="n">
        <v>46051</v>
      </c>
      <c r="E326" s="8"/>
      <c r="F326" s="8"/>
      <c r="G326" s="8" t="s">
        <v>11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 t="s">
        <v>2009</v>
      </c>
    </row>
    <row r="327" customFormat="false" ht="15" hidden="false" customHeight="false" outlineLevel="0" collapsed="false">
      <c r="A327" s="7" t="s">
        <v>2198</v>
      </c>
      <c r="B327" s="8" t="s">
        <v>1646</v>
      </c>
      <c r="C327" s="8" t="s">
        <v>41</v>
      </c>
      <c r="D327" s="9" t="n">
        <v>46052</v>
      </c>
      <c r="E327" s="8"/>
      <c r="F327" s="8"/>
      <c r="G327" s="8" t="s">
        <v>11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 t="s">
        <v>2199</v>
      </c>
    </row>
    <row r="328" customFormat="false" ht="15" hidden="false" customHeight="false" outlineLevel="0" collapsed="false">
      <c r="A328" s="7" t="s">
        <v>2200</v>
      </c>
      <c r="B328" s="8" t="s">
        <v>1648</v>
      </c>
      <c r="C328" s="8" t="s">
        <v>81</v>
      </c>
      <c r="D328" s="9" t="n">
        <v>46063</v>
      </c>
      <c r="E328" s="8"/>
      <c r="F328" s="8"/>
      <c r="G328" s="8" t="s">
        <v>11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 t="s">
        <v>2183</v>
      </c>
    </row>
    <row r="329" customFormat="false" ht="15" hidden="false" customHeight="false" outlineLevel="0" collapsed="false">
      <c r="A329" s="7" t="s">
        <v>2201</v>
      </c>
      <c r="B329" s="8" t="s">
        <v>1648</v>
      </c>
      <c r="C329" s="8" t="s">
        <v>41</v>
      </c>
      <c r="D329" s="9" t="n">
        <v>46063</v>
      </c>
      <c r="E329" s="8"/>
      <c r="F329" s="8"/>
      <c r="G329" s="8" t="s">
        <v>11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11" t="s">
        <v>1836</v>
      </c>
    </row>
    <row r="330" customFormat="false" ht="15" hidden="false" customHeight="false" outlineLevel="0" collapsed="false">
      <c r="A330" s="7" t="s">
        <v>2202</v>
      </c>
      <c r="B330" s="8" t="s">
        <v>1650</v>
      </c>
      <c r="C330" s="8" t="s">
        <v>81</v>
      </c>
      <c r="D330" s="9" t="n">
        <v>46066</v>
      </c>
      <c r="E330" s="8"/>
      <c r="F330" s="8"/>
      <c r="G330" s="8" t="s">
        <v>11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 t="s">
        <v>2183</v>
      </c>
    </row>
    <row r="331" customFormat="false" ht="15" hidden="false" customHeight="false" outlineLevel="0" collapsed="false">
      <c r="A331" s="7" t="s">
        <v>2203</v>
      </c>
      <c r="B331" s="8" t="s">
        <v>1650</v>
      </c>
      <c r="C331" s="8" t="s">
        <v>41</v>
      </c>
      <c r="D331" s="9" t="n">
        <v>46066</v>
      </c>
      <c r="E331" s="8"/>
      <c r="F331" s="8"/>
      <c r="G331" s="8" t="s">
        <v>11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11" t="s">
        <v>1836</v>
      </c>
    </row>
    <row r="332" customFormat="false" ht="15" hidden="false" customHeight="false" outlineLevel="0" collapsed="false">
      <c r="A332" s="7" t="s">
        <v>2204</v>
      </c>
      <c r="B332" s="8" t="s">
        <v>1652</v>
      </c>
      <c r="C332" s="8" t="s">
        <v>81</v>
      </c>
      <c r="D332" s="9" t="n">
        <v>46071</v>
      </c>
      <c r="E332" s="8"/>
      <c r="F332" s="8"/>
      <c r="G332" s="8" t="s">
        <v>11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 t="s">
        <v>2183</v>
      </c>
    </row>
    <row r="333" customFormat="false" ht="15" hidden="false" customHeight="false" outlineLevel="0" collapsed="false">
      <c r="A333" s="7" t="s">
        <v>2205</v>
      </c>
      <c r="B333" s="8" t="s">
        <v>1652</v>
      </c>
      <c r="C333" s="8" t="s">
        <v>41</v>
      </c>
      <c r="D333" s="9" t="n">
        <v>46071</v>
      </c>
      <c r="E333" s="8"/>
      <c r="F333" s="8"/>
      <c r="G333" s="8" t="s">
        <v>11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11" t="s">
        <v>1836</v>
      </c>
    </row>
    <row r="334" customFormat="false" ht="15" hidden="false" customHeight="false" outlineLevel="0" collapsed="false">
      <c r="A334" s="7" t="s">
        <v>2206</v>
      </c>
      <c r="B334" s="8" t="s">
        <v>1653</v>
      </c>
      <c r="C334" s="8" t="s">
        <v>81</v>
      </c>
      <c r="D334" s="9" t="n">
        <v>46073</v>
      </c>
      <c r="E334" s="8"/>
      <c r="F334" s="8"/>
      <c r="G334" s="8" t="s">
        <v>11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 t="s">
        <v>2183</v>
      </c>
    </row>
    <row r="335" customFormat="false" ht="15" hidden="false" customHeight="false" outlineLevel="0" collapsed="false">
      <c r="A335" s="7" t="s">
        <v>2207</v>
      </c>
      <c r="B335" s="8" t="s">
        <v>1653</v>
      </c>
      <c r="C335" s="8" t="s">
        <v>41</v>
      </c>
      <c r="D335" s="9" t="n">
        <v>46073</v>
      </c>
      <c r="E335" s="8"/>
      <c r="F335" s="8"/>
      <c r="G335" s="8" t="s">
        <v>11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11" t="s">
        <v>1836</v>
      </c>
    </row>
    <row r="336" customFormat="false" ht="15" hidden="false" customHeight="false" outlineLevel="0" collapsed="false">
      <c r="A336" s="7" t="s">
        <v>2208</v>
      </c>
      <c r="B336" s="8" t="s">
        <v>1654</v>
      </c>
      <c r="C336" s="8" t="s">
        <v>81</v>
      </c>
      <c r="D336" s="9" t="n">
        <v>46073</v>
      </c>
      <c r="E336" s="8"/>
      <c r="F336" s="8"/>
      <c r="G336" s="8" t="s">
        <v>11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 t="s">
        <v>2183</v>
      </c>
    </row>
    <row r="337" customFormat="false" ht="15" hidden="false" customHeight="false" outlineLevel="0" collapsed="false">
      <c r="A337" s="7" t="s">
        <v>2209</v>
      </c>
      <c r="B337" s="8" t="s">
        <v>1654</v>
      </c>
      <c r="C337" s="8" t="s">
        <v>41</v>
      </c>
      <c r="D337" s="9" t="n">
        <v>46073</v>
      </c>
      <c r="E337" s="8"/>
      <c r="F337" s="8"/>
      <c r="G337" s="8" t="s">
        <v>11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11" t="s">
        <v>1836</v>
      </c>
    </row>
    <row r="338" customFormat="false" ht="15" hidden="false" customHeight="false" outlineLevel="0" collapsed="false">
      <c r="A338" s="7" t="s">
        <v>2210</v>
      </c>
      <c r="B338" s="8" t="s">
        <v>1655</v>
      </c>
      <c r="C338" s="8" t="s">
        <v>97</v>
      </c>
      <c r="D338" s="9" t="n">
        <v>46091</v>
      </c>
      <c r="E338" s="8"/>
      <c r="F338" s="8"/>
      <c r="G338" s="8" t="s">
        <v>11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 t="s">
        <v>2211</v>
      </c>
    </row>
    <row r="339" customFormat="false" ht="15" hidden="false" customHeight="false" outlineLevel="0" collapsed="false">
      <c r="A339" s="7" t="s">
        <v>2212</v>
      </c>
      <c r="B339" s="8" t="s">
        <v>1657</v>
      </c>
      <c r="C339" s="8" t="s">
        <v>97</v>
      </c>
      <c r="D339" s="9" t="n">
        <v>46093</v>
      </c>
      <c r="E339" s="8"/>
      <c r="F339" s="8"/>
      <c r="G339" s="8" t="s">
        <v>11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 t="s">
        <v>2211</v>
      </c>
    </row>
    <row r="340" customFormat="false" ht="15" hidden="false" customHeight="false" outlineLevel="0" collapsed="false">
      <c r="A340" s="7" t="s">
        <v>2213</v>
      </c>
      <c r="B340" s="8" t="s">
        <v>1659</v>
      </c>
      <c r="C340" s="8" t="s">
        <v>97</v>
      </c>
      <c r="D340" s="9" t="n">
        <v>46105</v>
      </c>
      <c r="E340" s="8"/>
      <c r="F340" s="8"/>
      <c r="G340" s="8" t="s">
        <v>11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 t="s">
        <v>2211</v>
      </c>
    </row>
    <row r="341" customFormat="false" ht="15" hidden="false" customHeight="false" outlineLevel="0" collapsed="false">
      <c r="A341" s="7" t="s">
        <v>2214</v>
      </c>
      <c r="B341" s="8" t="s">
        <v>1661</v>
      </c>
      <c r="C341" s="8" t="s">
        <v>97</v>
      </c>
      <c r="D341" s="9" t="n">
        <v>46121</v>
      </c>
      <c r="E341" s="8"/>
      <c r="F341" s="8"/>
      <c r="G341" s="8" t="s">
        <v>11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 t="s">
        <v>2211</v>
      </c>
    </row>
    <row r="342" customFormat="false" ht="15" hidden="false" customHeight="false" outlineLevel="0" collapsed="false">
      <c r="A342" s="7" t="s">
        <v>2215</v>
      </c>
      <c r="B342" s="8" t="s">
        <v>1663</v>
      </c>
      <c r="C342" s="8" t="s">
        <v>97</v>
      </c>
      <c r="D342" s="9" t="n">
        <v>46121</v>
      </c>
      <c r="E342" s="8"/>
      <c r="F342" s="8"/>
      <c r="G342" s="8" t="s">
        <v>11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 t="s">
        <v>2211</v>
      </c>
    </row>
    <row r="343" customFormat="false" ht="15" hidden="false" customHeight="false" outlineLevel="0" collapsed="false">
      <c r="A343" s="7" t="s">
        <v>2216</v>
      </c>
      <c r="B343" s="8" t="s">
        <v>1664</v>
      </c>
      <c r="C343" s="8" t="s">
        <v>97</v>
      </c>
      <c r="D343" s="9" t="n">
        <v>46122</v>
      </c>
      <c r="E343" s="8"/>
      <c r="F343" s="8"/>
      <c r="G343" s="8" t="s">
        <v>11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 t="s">
        <v>2211</v>
      </c>
    </row>
    <row r="344" customFormat="false" ht="15" hidden="false" customHeight="false" outlineLevel="0" collapsed="false">
      <c r="A344" s="7" t="s">
        <v>2217</v>
      </c>
      <c r="B344" s="8" t="s">
        <v>1670</v>
      </c>
      <c r="C344" s="8" t="s">
        <v>97</v>
      </c>
      <c r="D344" s="9" t="n">
        <v>46125</v>
      </c>
      <c r="E344" s="8"/>
      <c r="F344" s="8"/>
      <c r="G344" s="8" t="s">
        <v>11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 t="s">
        <v>2211</v>
      </c>
    </row>
    <row r="345" customFormat="false" ht="15" hidden="false" customHeight="false" outlineLevel="0" collapsed="false">
      <c r="A345" s="7" t="s">
        <v>2218</v>
      </c>
      <c r="B345" s="8" t="s">
        <v>1672</v>
      </c>
      <c r="C345" s="8" t="s">
        <v>97</v>
      </c>
      <c r="D345" s="9" t="n">
        <v>46135</v>
      </c>
      <c r="E345" s="8"/>
      <c r="F345" s="8"/>
      <c r="G345" s="8" t="s">
        <v>11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 t="s">
        <v>2211</v>
      </c>
    </row>
    <row r="346" customFormat="false" ht="15" hidden="false" customHeight="false" outlineLevel="0" collapsed="false">
      <c r="A346" s="7" t="s">
        <v>2219</v>
      </c>
      <c r="B346" s="8" t="s">
        <v>1685</v>
      </c>
      <c r="C346" s="8" t="s">
        <v>81</v>
      </c>
      <c r="D346" s="9" t="n">
        <v>46059</v>
      </c>
      <c r="E346" s="8"/>
      <c r="F346" s="8"/>
      <c r="G346" s="8" t="s">
        <v>12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 t="s">
        <v>2220</v>
      </c>
    </row>
    <row r="347" customFormat="false" ht="15" hidden="false" customHeight="false" outlineLevel="0" collapsed="false">
      <c r="A347" s="7" t="s">
        <v>2221</v>
      </c>
      <c r="B347" s="8" t="s">
        <v>1687</v>
      </c>
      <c r="C347" s="8" t="s">
        <v>81</v>
      </c>
      <c r="D347" s="9" t="n">
        <v>46069</v>
      </c>
      <c r="E347" s="8"/>
      <c r="F347" s="8"/>
      <c r="G347" s="8" t="s">
        <v>12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11" t="s">
        <v>1836</v>
      </c>
    </row>
    <row r="348" customFormat="false" ht="15" hidden="false" customHeight="false" outlineLevel="0" collapsed="false">
      <c r="A348" s="7" t="s">
        <v>2222</v>
      </c>
      <c r="B348" s="8" t="s">
        <v>1687</v>
      </c>
      <c r="C348" s="8" t="s">
        <v>41</v>
      </c>
      <c r="D348" s="9" t="n">
        <v>46069</v>
      </c>
      <c r="E348" s="8"/>
      <c r="F348" s="8"/>
      <c r="G348" s="8" t="s">
        <v>12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11" t="s">
        <v>1836</v>
      </c>
    </row>
    <row r="349" customFormat="false" ht="17.15" hidden="false" customHeight="false" outlineLevel="0" collapsed="false">
      <c r="A349" s="7" t="s">
        <v>2223</v>
      </c>
      <c r="B349" s="8" t="s">
        <v>1689</v>
      </c>
      <c r="C349" s="8" t="s">
        <v>41</v>
      </c>
      <c r="D349" s="9" t="n">
        <v>46073</v>
      </c>
      <c r="E349" s="8"/>
      <c r="F349" s="8"/>
      <c r="G349" s="8" t="s">
        <v>12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 t="s">
        <v>2224</v>
      </c>
    </row>
    <row r="350" customFormat="false" ht="17.15" hidden="false" customHeight="false" outlineLevel="0" collapsed="false">
      <c r="A350" s="7" t="s">
        <v>2225</v>
      </c>
      <c r="B350" s="8" t="s">
        <v>1691</v>
      </c>
      <c r="C350" s="8" t="s">
        <v>41</v>
      </c>
      <c r="D350" s="9" t="n">
        <v>46080</v>
      </c>
      <c r="E350" s="8"/>
      <c r="F350" s="8"/>
      <c r="G350" s="8" t="s">
        <v>12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 t="s">
        <v>2224</v>
      </c>
    </row>
    <row r="351" customFormat="false" ht="17.15" hidden="false" customHeight="false" outlineLevel="0" collapsed="false">
      <c r="A351" s="7" t="s">
        <v>2226</v>
      </c>
      <c r="B351" s="8" t="s">
        <v>1693</v>
      </c>
      <c r="C351" s="8" t="s">
        <v>41</v>
      </c>
      <c r="D351" s="9" t="n">
        <v>46090</v>
      </c>
      <c r="E351" s="8"/>
      <c r="F351" s="8"/>
      <c r="G351" s="8" t="s">
        <v>12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 t="s">
        <v>2224</v>
      </c>
    </row>
    <row r="352" customFormat="false" ht="17.15" hidden="false" customHeight="false" outlineLevel="0" collapsed="false">
      <c r="A352" s="7" t="s">
        <v>2227</v>
      </c>
      <c r="B352" s="8" t="s">
        <v>1695</v>
      </c>
      <c r="C352" s="8" t="s">
        <v>41</v>
      </c>
      <c r="D352" s="9" t="n">
        <v>46090</v>
      </c>
      <c r="E352" s="8"/>
      <c r="F352" s="8"/>
      <c r="G352" s="8" t="s">
        <v>12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 t="s">
        <v>2224</v>
      </c>
    </row>
    <row r="353" customFormat="false" ht="17.15" hidden="false" customHeight="false" outlineLevel="0" collapsed="false">
      <c r="A353" s="7" t="s">
        <v>2228</v>
      </c>
      <c r="B353" s="8" t="s">
        <v>1697</v>
      </c>
      <c r="C353" s="8" t="s">
        <v>41</v>
      </c>
      <c r="D353" s="9" t="n">
        <v>46090</v>
      </c>
      <c r="E353" s="8"/>
      <c r="F353" s="8"/>
      <c r="G353" s="8" t="s">
        <v>12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 t="s">
        <v>2224</v>
      </c>
    </row>
    <row r="354" customFormat="false" ht="17.15" hidden="false" customHeight="false" outlineLevel="0" collapsed="false">
      <c r="A354" s="7" t="s">
        <v>2229</v>
      </c>
      <c r="B354" s="8" t="s">
        <v>1699</v>
      </c>
      <c r="C354" s="8" t="s">
        <v>41</v>
      </c>
      <c r="D354" s="9" t="n">
        <v>46108</v>
      </c>
      <c r="E354" s="8"/>
      <c r="F354" s="8"/>
      <c r="G354" s="8" t="s">
        <v>12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 t="s">
        <v>2224</v>
      </c>
    </row>
    <row r="355" customFormat="false" ht="17.15" hidden="false" customHeight="false" outlineLevel="0" collapsed="false">
      <c r="A355" s="7" t="s">
        <v>2230</v>
      </c>
      <c r="B355" s="8" t="s">
        <v>1701</v>
      </c>
      <c r="C355" s="8" t="s">
        <v>41</v>
      </c>
      <c r="D355" s="9" t="n">
        <v>46111</v>
      </c>
      <c r="E355" s="8"/>
      <c r="F355" s="8"/>
      <c r="G355" s="8" t="s">
        <v>12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 t="s">
        <v>2224</v>
      </c>
    </row>
    <row r="356" customFormat="false" ht="17.15" hidden="false" customHeight="false" outlineLevel="0" collapsed="false">
      <c r="A356" s="7" t="s">
        <v>2231</v>
      </c>
      <c r="B356" s="8" t="s">
        <v>1703</v>
      </c>
      <c r="C356" s="8" t="s">
        <v>41</v>
      </c>
      <c r="D356" s="9" t="n">
        <v>46114</v>
      </c>
      <c r="E356" s="8"/>
      <c r="F356" s="8"/>
      <c r="G356" s="8" t="s">
        <v>12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 t="s">
        <v>2224</v>
      </c>
    </row>
    <row r="357" customFormat="false" ht="15" hidden="false" customHeight="false" outlineLevel="0" collapsed="false">
      <c r="A357" s="7" t="s">
        <v>2232</v>
      </c>
      <c r="B357" s="8" t="s">
        <v>1705</v>
      </c>
      <c r="C357" s="8" t="s">
        <v>81</v>
      </c>
      <c r="D357" s="9" t="n">
        <v>46119</v>
      </c>
      <c r="E357" s="8"/>
      <c r="F357" s="8"/>
      <c r="G357" s="8" t="s">
        <v>12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 t="s">
        <v>2233</v>
      </c>
    </row>
    <row r="358" customFormat="false" ht="17.15" hidden="false" customHeight="false" outlineLevel="0" collapsed="false">
      <c r="A358" s="7" t="s">
        <v>2234</v>
      </c>
      <c r="B358" s="8" t="s">
        <v>1707</v>
      </c>
      <c r="C358" s="8" t="s">
        <v>41</v>
      </c>
      <c r="D358" s="9" t="n">
        <v>46121</v>
      </c>
      <c r="E358" s="8"/>
      <c r="F358" s="8"/>
      <c r="G358" s="8" t="s">
        <v>12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 t="s">
        <v>2224</v>
      </c>
    </row>
    <row r="359" customFormat="false" ht="17.15" hidden="false" customHeight="false" outlineLevel="0" collapsed="false">
      <c r="A359" s="7" t="s">
        <v>2235</v>
      </c>
      <c r="B359" s="8" t="s">
        <v>1709</v>
      </c>
      <c r="C359" s="8" t="s">
        <v>41</v>
      </c>
      <c r="D359" s="9" t="n">
        <v>46128</v>
      </c>
      <c r="E359" s="8"/>
      <c r="F359" s="8"/>
      <c r="G359" s="8" t="s">
        <v>12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 t="s">
        <v>2224</v>
      </c>
    </row>
    <row r="360" customFormat="false" ht="15" hidden="false" customHeight="false" outlineLevel="0" collapsed="false">
      <c r="A360" s="7" t="s">
        <v>2236</v>
      </c>
      <c r="B360" s="8" t="s">
        <v>1711</v>
      </c>
      <c r="C360" s="8" t="s">
        <v>78</v>
      </c>
      <c r="D360" s="9" t="n">
        <v>46128</v>
      </c>
      <c r="E360" s="8"/>
      <c r="F360" s="8"/>
      <c r="G360" s="8" t="s">
        <v>12</v>
      </c>
      <c r="H360" s="8"/>
      <c r="I360" s="8"/>
      <c r="J360" s="8" t="s">
        <v>2237</v>
      </c>
      <c r="K360" s="8"/>
      <c r="L360" s="8"/>
      <c r="M360" s="8"/>
      <c r="N360" s="8"/>
      <c r="O360" s="8"/>
      <c r="P360" s="8"/>
      <c r="Q360" s="8"/>
      <c r="R360" s="8"/>
      <c r="S360" s="8" t="s">
        <v>2238</v>
      </c>
    </row>
    <row r="361" customFormat="false" ht="17.15" hidden="false" customHeight="false" outlineLevel="0" collapsed="false">
      <c r="A361" s="7" t="s">
        <v>2239</v>
      </c>
      <c r="B361" s="8" t="s">
        <v>1713</v>
      </c>
      <c r="C361" s="8" t="s">
        <v>41</v>
      </c>
      <c r="D361" s="9" t="n">
        <v>46132</v>
      </c>
      <c r="E361" s="8"/>
      <c r="F361" s="8"/>
      <c r="G361" s="8" t="s">
        <v>12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 t="s">
        <v>2224</v>
      </c>
    </row>
    <row r="362" customFormat="false" ht="15" hidden="false" customHeight="false" outlineLevel="0" collapsed="false">
      <c r="A362" s="7" t="s">
        <v>2240</v>
      </c>
      <c r="B362" s="8" t="s">
        <v>1715</v>
      </c>
      <c r="C362" s="8" t="s">
        <v>78</v>
      </c>
      <c r="D362" s="9" t="n">
        <v>46133</v>
      </c>
      <c r="E362" s="8"/>
      <c r="F362" s="8"/>
      <c r="G362" s="8" t="s">
        <v>12</v>
      </c>
      <c r="H362" s="8"/>
      <c r="I362" s="8"/>
      <c r="J362" s="8" t="s">
        <v>2241</v>
      </c>
      <c r="K362" s="8"/>
      <c r="L362" s="8"/>
      <c r="M362" s="8"/>
      <c r="N362" s="8"/>
      <c r="O362" s="8"/>
      <c r="P362" s="8"/>
      <c r="Q362" s="8"/>
      <c r="R362" s="8"/>
      <c r="S362" s="8" t="s">
        <v>2238</v>
      </c>
    </row>
    <row r="363" customFormat="false" ht="15" hidden="false" customHeight="false" outlineLevel="0" collapsed="false">
      <c r="A363" s="7" t="s">
        <v>2242</v>
      </c>
      <c r="B363" s="8" t="s">
        <v>1717</v>
      </c>
      <c r="C363" s="8" t="s">
        <v>78</v>
      </c>
      <c r="D363" s="9" t="n">
        <v>46134</v>
      </c>
      <c r="E363" s="8"/>
      <c r="F363" s="8"/>
      <c r="G363" s="8" t="s">
        <v>12</v>
      </c>
      <c r="H363" s="8"/>
      <c r="I363" s="8"/>
      <c r="J363" s="8" t="s">
        <v>2241</v>
      </c>
      <c r="K363" s="8"/>
      <c r="L363" s="8"/>
      <c r="M363" s="8"/>
      <c r="N363" s="8"/>
      <c r="O363" s="8"/>
      <c r="P363" s="8"/>
      <c r="Q363" s="8"/>
      <c r="R363" s="8"/>
      <c r="S363" s="8" t="s">
        <v>2238</v>
      </c>
    </row>
    <row r="364" customFormat="false" ht="15" hidden="false" customHeight="false" outlineLevel="0" collapsed="false">
      <c r="A364" s="7" t="s">
        <v>2243</v>
      </c>
      <c r="B364" s="8" t="s">
        <v>1719</v>
      </c>
      <c r="C364" s="8" t="s">
        <v>85</v>
      </c>
      <c r="D364" s="9" t="n">
        <v>46140</v>
      </c>
      <c r="E364" s="8"/>
      <c r="F364" s="8"/>
      <c r="G364" s="8" t="s">
        <v>12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11" t="s">
        <v>2244</v>
      </c>
    </row>
    <row r="365" customFormat="false" ht="15" hidden="false" customHeight="false" outlineLevel="0" collapsed="false">
      <c r="A365" s="7" t="s">
        <v>2245</v>
      </c>
      <c r="B365" s="8" t="s">
        <v>1721</v>
      </c>
      <c r="C365" s="8" t="s">
        <v>85</v>
      </c>
      <c r="D365" s="9" t="n">
        <v>46140</v>
      </c>
      <c r="E365" s="8"/>
      <c r="F365" s="8"/>
      <c r="G365" s="8" t="s">
        <v>12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11" t="s">
        <v>2244</v>
      </c>
    </row>
    <row r="366" customFormat="false" ht="17.15" hidden="false" customHeight="false" outlineLevel="0" collapsed="false">
      <c r="A366" s="7" t="s">
        <v>2246</v>
      </c>
      <c r="B366" s="8" t="s">
        <v>1723</v>
      </c>
      <c r="C366" s="8" t="s">
        <v>41</v>
      </c>
      <c r="D366" s="9" t="n">
        <v>46142</v>
      </c>
      <c r="E366" s="8"/>
      <c r="F366" s="8"/>
      <c r="G366" s="8" t="s">
        <v>12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 t="s">
        <v>2224</v>
      </c>
    </row>
    <row r="367" customFormat="false" ht="17.15" hidden="false" customHeight="false" outlineLevel="0" collapsed="false">
      <c r="A367" s="7" t="s">
        <v>2247</v>
      </c>
      <c r="B367" s="8" t="s">
        <v>1725</v>
      </c>
      <c r="C367" s="8" t="s">
        <v>41</v>
      </c>
      <c r="D367" s="9" t="n">
        <v>46149</v>
      </c>
      <c r="E367" s="8"/>
      <c r="F367" s="8"/>
      <c r="G367" s="8" t="s">
        <v>12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 t="s">
        <v>2224</v>
      </c>
    </row>
    <row r="368" customFormat="false" ht="17.15" hidden="false" customHeight="false" outlineLevel="0" collapsed="false">
      <c r="A368" s="7" t="s">
        <v>2248</v>
      </c>
      <c r="B368" s="8" t="s">
        <v>1727</v>
      </c>
      <c r="C368" s="8" t="s">
        <v>41</v>
      </c>
      <c r="D368" s="9" t="n">
        <v>46154</v>
      </c>
      <c r="E368" s="8"/>
      <c r="F368" s="8"/>
      <c r="G368" s="8" t="s">
        <v>12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 t="s">
        <v>2224</v>
      </c>
    </row>
    <row r="369" customFormat="false" ht="17.15" hidden="false" customHeight="false" outlineLevel="0" collapsed="false">
      <c r="A369" s="7" t="s">
        <v>2249</v>
      </c>
      <c r="B369" s="8" t="s">
        <v>1729</v>
      </c>
      <c r="C369" s="8" t="s">
        <v>41</v>
      </c>
      <c r="D369" s="9" t="n">
        <v>46156</v>
      </c>
      <c r="E369" s="8"/>
      <c r="F369" s="8"/>
      <c r="G369" s="8" t="s">
        <v>12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 t="s">
        <v>2224</v>
      </c>
    </row>
    <row r="370" customFormat="false" ht="17.15" hidden="false" customHeight="false" outlineLevel="0" collapsed="false">
      <c r="A370" s="7" t="s">
        <v>2250</v>
      </c>
      <c r="B370" s="8" t="s">
        <v>1731</v>
      </c>
      <c r="C370" s="8" t="s">
        <v>41</v>
      </c>
      <c r="D370" s="9" t="n">
        <v>46156</v>
      </c>
      <c r="E370" s="8"/>
      <c r="F370" s="8"/>
      <c r="G370" s="8" t="s">
        <v>12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 t="s">
        <v>2224</v>
      </c>
    </row>
    <row r="371" customFormat="false" ht="15" hidden="false" customHeight="false" outlineLevel="0" collapsed="false">
      <c r="A371" s="7" t="s">
        <v>2251</v>
      </c>
      <c r="B371" s="8" t="s">
        <v>1733</v>
      </c>
      <c r="C371" s="8" t="s">
        <v>78</v>
      </c>
      <c r="D371" s="9" t="n">
        <v>46170</v>
      </c>
      <c r="E371" s="8"/>
      <c r="F371" s="8"/>
      <c r="G371" s="8" t="s">
        <v>12</v>
      </c>
      <c r="H371" s="8"/>
      <c r="I371" s="8"/>
      <c r="J371" s="8" t="s">
        <v>2241</v>
      </c>
      <c r="K371" s="8"/>
      <c r="L371" s="8"/>
      <c r="M371" s="8"/>
      <c r="N371" s="8"/>
      <c r="O371" s="8"/>
      <c r="P371" s="8"/>
      <c r="Q371" s="8"/>
      <c r="R371" s="8"/>
      <c r="S371" s="8" t="s">
        <v>2238</v>
      </c>
    </row>
    <row r="372" customFormat="false" ht="17.15" hidden="false" customHeight="false" outlineLevel="0" collapsed="false">
      <c r="A372" s="7" t="s">
        <v>2252</v>
      </c>
      <c r="B372" s="8" t="s">
        <v>1735</v>
      </c>
      <c r="C372" s="8" t="s">
        <v>41</v>
      </c>
      <c r="D372" s="9" t="n">
        <v>46174</v>
      </c>
      <c r="E372" s="8"/>
      <c r="F372" s="8"/>
      <c r="G372" s="8" t="s">
        <v>12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 t="s">
        <v>2224</v>
      </c>
    </row>
    <row r="373" customFormat="false" ht="15" hidden="false" customHeight="false" outlineLevel="0" collapsed="false">
      <c r="A373" s="7" t="s">
        <v>2253</v>
      </c>
      <c r="B373" s="8" t="s">
        <v>1737</v>
      </c>
      <c r="C373" s="8" t="s">
        <v>78</v>
      </c>
      <c r="D373" s="9" t="n">
        <v>46175</v>
      </c>
      <c r="E373" s="8"/>
      <c r="F373" s="8"/>
      <c r="G373" s="8" t="s">
        <v>12</v>
      </c>
      <c r="H373" s="8"/>
      <c r="I373" s="8"/>
      <c r="J373" s="8" t="s">
        <v>2241</v>
      </c>
      <c r="K373" s="8"/>
      <c r="L373" s="8"/>
      <c r="M373" s="8"/>
      <c r="N373" s="8"/>
      <c r="O373" s="8"/>
      <c r="P373" s="8"/>
      <c r="Q373" s="8"/>
      <c r="R373" s="8"/>
      <c r="S373" s="8" t="s">
        <v>2238</v>
      </c>
    </row>
    <row r="374" customFormat="false" ht="15" hidden="false" customHeight="false" outlineLevel="0" collapsed="false">
      <c r="A374" s="7" t="s">
        <v>2254</v>
      </c>
      <c r="B374" s="8" t="s">
        <v>1739</v>
      </c>
      <c r="C374" s="8" t="s">
        <v>78</v>
      </c>
      <c r="D374" s="9" t="n">
        <v>46175</v>
      </c>
      <c r="E374" s="8"/>
      <c r="F374" s="8"/>
      <c r="G374" s="8" t="s">
        <v>12</v>
      </c>
      <c r="H374" s="8"/>
      <c r="I374" s="8"/>
      <c r="J374" s="8" t="s">
        <v>2241</v>
      </c>
      <c r="K374" s="8"/>
      <c r="L374" s="8"/>
      <c r="M374" s="8"/>
      <c r="N374" s="8"/>
      <c r="O374" s="8"/>
      <c r="P374" s="8"/>
      <c r="Q374" s="8"/>
      <c r="R374" s="8"/>
      <c r="S374" s="8" t="s">
        <v>2238</v>
      </c>
    </row>
    <row r="375" customFormat="false" ht="15" hidden="false" customHeight="false" outlineLevel="0" collapsed="false">
      <c r="A375" s="7" t="s">
        <v>2255</v>
      </c>
      <c r="B375" s="8" t="s">
        <v>1741</v>
      </c>
      <c r="C375" s="8" t="s">
        <v>78</v>
      </c>
      <c r="D375" s="9" t="n">
        <v>46177</v>
      </c>
      <c r="E375" s="8"/>
      <c r="F375" s="8"/>
      <c r="G375" s="8" t="s">
        <v>12</v>
      </c>
      <c r="H375" s="8"/>
      <c r="I375" s="8"/>
      <c r="J375" s="8" t="s">
        <v>2241</v>
      </c>
      <c r="K375" s="8"/>
      <c r="L375" s="8"/>
      <c r="M375" s="8"/>
      <c r="N375" s="8"/>
      <c r="O375" s="8"/>
      <c r="P375" s="8"/>
      <c r="Q375" s="8"/>
      <c r="R375" s="8"/>
      <c r="S375" s="8" t="s">
        <v>2238</v>
      </c>
    </row>
    <row r="376" customFormat="false" ht="15" hidden="false" customHeight="false" outlineLevel="0" collapsed="false">
      <c r="A376" s="7" t="s">
        <v>2256</v>
      </c>
      <c r="B376" s="8" t="s">
        <v>1743</v>
      </c>
      <c r="C376" s="8" t="s">
        <v>78</v>
      </c>
      <c r="D376" s="9" t="n">
        <v>46177</v>
      </c>
      <c r="E376" s="8"/>
      <c r="F376" s="8"/>
      <c r="G376" s="8" t="s">
        <v>12</v>
      </c>
      <c r="H376" s="8"/>
      <c r="I376" s="8"/>
      <c r="J376" s="8" t="s">
        <v>2241</v>
      </c>
      <c r="K376" s="8"/>
      <c r="L376" s="8"/>
      <c r="M376" s="8"/>
      <c r="N376" s="8"/>
      <c r="O376" s="8"/>
      <c r="P376" s="8"/>
      <c r="Q376" s="8"/>
      <c r="R376" s="8"/>
      <c r="S376" s="8" t="s">
        <v>2238</v>
      </c>
    </row>
    <row r="377" customFormat="false" ht="17.15" hidden="false" customHeight="false" outlineLevel="0" collapsed="false">
      <c r="A377" s="7" t="s">
        <v>2257</v>
      </c>
      <c r="B377" s="8" t="s">
        <v>1745</v>
      </c>
      <c r="C377" s="8" t="s">
        <v>41</v>
      </c>
      <c r="D377" s="9" t="n">
        <v>46181</v>
      </c>
      <c r="E377" s="8"/>
      <c r="F377" s="8"/>
      <c r="G377" s="8" t="s">
        <v>12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 t="s">
        <v>2224</v>
      </c>
    </row>
    <row r="378" customFormat="false" ht="17.15" hidden="false" customHeight="false" outlineLevel="0" collapsed="false">
      <c r="A378" s="7" t="s">
        <v>2258</v>
      </c>
      <c r="B378" s="8" t="s">
        <v>1747</v>
      </c>
      <c r="C378" s="8" t="s">
        <v>41</v>
      </c>
      <c r="D378" s="9" t="n">
        <v>46181</v>
      </c>
      <c r="E378" s="8"/>
      <c r="F378" s="8"/>
      <c r="G378" s="8" t="s">
        <v>12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 t="s">
        <v>2224</v>
      </c>
    </row>
    <row r="379" customFormat="false" ht="17.15" hidden="false" customHeight="false" outlineLevel="0" collapsed="false">
      <c r="A379" s="7" t="s">
        <v>2259</v>
      </c>
      <c r="B379" s="8" t="s">
        <v>1749</v>
      </c>
      <c r="C379" s="8" t="s">
        <v>41</v>
      </c>
      <c r="D379" s="9" t="n">
        <v>46182</v>
      </c>
      <c r="E379" s="8"/>
      <c r="F379" s="8"/>
      <c r="G379" s="8" t="s">
        <v>12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 t="s">
        <v>2224</v>
      </c>
    </row>
    <row r="380" customFormat="false" ht="15" hidden="false" customHeight="false" outlineLevel="0" collapsed="false">
      <c r="A380" s="7" t="s">
        <v>2260</v>
      </c>
      <c r="B380" s="8" t="s">
        <v>1751</v>
      </c>
      <c r="C380" s="8" t="s">
        <v>41</v>
      </c>
      <c r="D380" s="9" t="n">
        <v>46184</v>
      </c>
      <c r="E380" s="8"/>
      <c r="F380" s="8"/>
      <c r="G380" s="8" t="s">
        <v>12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 t="s">
        <v>2261</v>
      </c>
    </row>
    <row r="381" customFormat="false" ht="15" hidden="false" customHeight="false" outlineLevel="0" collapsed="false">
      <c r="A381" s="7" t="s">
        <v>2262</v>
      </c>
      <c r="B381" s="8" t="s">
        <v>1753</v>
      </c>
      <c r="C381" s="8" t="s">
        <v>41</v>
      </c>
      <c r="D381" s="9" t="n">
        <v>46184</v>
      </c>
      <c r="E381" s="8"/>
      <c r="F381" s="8"/>
      <c r="G381" s="8" t="s">
        <v>12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 t="s">
        <v>2261</v>
      </c>
    </row>
    <row r="382" customFormat="false" ht="15" hidden="false" customHeight="false" outlineLevel="0" collapsed="false">
      <c r="A382" s="7" t="s">
        <v>2263</v>
      </c>
      <c r="B382" s="8" t="s">
        <v>1755</v>
      </c>
      <c r="C382" s="8" t="s">
        <v>41</v>
      </c>
      <c r="D382" s="9" t="n">
        <v>46184</v>
      </c>
      <c r="E382" s="8"/>
      <c r="F382" s="8"/>
      <c r="G382" s="8" t="s">
        <v>12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 t="s">
        <v>2261</v>
      </c>
    </row>
  </sheetData>
  <dataValidations count="6">
    <dataValidation allowBlank="true" errorStyle="stop" operator="between" showDropDown="false" showErrorMessage="false" showInputMessage="false" sqref="B2:B900" type="list">
      <formula1>animals!$A$2:$A$600</formula1>
      <formula2>0</formula2>
    </dataValidation>
    <dataValidation allowBlank="true" errorStyle="stop" operator="between" showDropDown="false" showErrorMessage="false" showInputMessage="false" sqref="C2:C900" type="list">
      <formula1>vocab!$J$2:$J$15</formula1>
      <formula2>0</formula2>
    </dataValidation>
    <dataValidation allowBlank="true" errorStyle="stop" operator="between" showDropDown="false" showErrorMessage="false" showInputMessage="false" sqref="G2:G900" type="list">
      <formula1>vocab!$O$2:$O$3</formula1>
      <formula2>0</formula2>
    </dataValidation>
    <dataValidation allowBlank="true" errorStyle="stop" operator="between" showDropDown="false" showErrorMessage="false" showInputMessage="false" sqref="H2:H900" type="list">
      <formula1>vocab!$L$2:$L$6</formula1>
      <formula2>0</formula2>
    </dataValidation>
    <dataValidation allowBlank="true" errorStyle="stop" operator="between" showDropDown="false" showErrorMessage="false" showInputMessage="false" sqref="K2:K900" type="list">
      <formula1>vocab!$K$2:$K$7</formula1>
      <formula2>0</formula2>
    </dataValidation>
    <dataValidation allowBlank="true" errorStyle="stop" operator="between" showDropDown="false" showErrorMessage="false" showInputMessage="false" sqref="L2:L900" type="list">
      <formula1>vocab!$M$2:$M$4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8"/>
  </cols>
  <sheetData>
    <row r="1" customFormat="false" ht="24" hidden="false" customHeight="true" outlineLevel="0" collapsed="false">
      <c r="A1" s="6" t="s">
        <v>2264</v>
      </c>
      <c r="B1" s="6" t="s">
        <v>1</v>
      </c>
      <c r="C1" s="6" t="s">
        <v>2265</v>
      </c>
      <c r="D1" s="6" t="s">
        <v>2266</v>
      </c>
      <c r="E1" s="6" t="s">
        <v>2267</v>
      </c>
      <c r="F1" s="6" t="s">
        <v>2268</v>
      </c>
      <c r="G1" s="6" t="s">
        <v>137</v>
      </c>
      <c r="H1" s="6" t="s">
        <v>2269</v>
      </c>
      <c r="I1" s="6" t="s">
        <v>2270</v>
      </c>
      <c r="J1" s="6" t="s">
        <v>2271</v>
      </c>
      <c r="K1" s="6" t="s">
        <v>146</v>
      </c>
      <c r="L1" s="6" t="s">
        <v>103</v>
      </c>
    </row>
  </sheetData>
  <dataValidations count="2">
    <dataValidation allowBlank="true" errorStyle="stop" operator="between" showDropDown="false" showErrorMessage="false" showInputMessage="false" sqref="B2:B900" type="list">
      <formula1>lines!$A$2:$A$20</formula1>
      <formula2>0</formula2>
    </dataValidation>
    <dataValidation allowBlank="true" errorStyle="stop" operator="between" showDropDown="false" showErrorMessage="false" showInputMessage="false" sqref="K2:K900" type="list">
      <formula1>vocab!$H$2:$H$5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2026-06-14T00:59:03Z</dcterms:created>
  <dc:creator>openpyxl</dc:creator>
  <dc:description/>
  <dc:language>en-US</dc:language>
  <cp:lastModifiedBy/>
  <dcterms:modified xsi:type="dcterms:W3CDTF">2026-06-14T00:59:04Z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